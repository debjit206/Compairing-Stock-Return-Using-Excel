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bji\Downloads\"/>
    </mc:Choice>
  </mc:AlternateContent>
  <xr:revisionPtr revIDLastSave="0" documentId="13_ncr:1_{5314D99D-EB5D-4E5F-9439-2013C7ED7198}" xr6:coauthVersionLast="47" xr6:coauthVersionMax="47" xr10:uidLastSave="{00000000-0000-0000-0000-000000000000}"/>
  <bookViews>
    <workbookView xWindow="-108" yWindow="-108" windowWidth="23256" windowHeight="12456" activeTab="4" xr2:uid="{10E5864A-DF0C-4AD7-8DF7-B4E8FB1F9A5A}"/>
  </bookViews>
  <sheets>
    <sheet name="AAPL" sheetId="3" r:id="rId1"/>
    <sheet name="MSFT" sheetId="4" r:id="rId2"/>
    <sheet name="WMT" sheetId="5" r:id="rId3"/>
    <sheet name="BA" sheetId="6" r:id="rId4"/>
    <sheet name="Sheet1" sheetId="2" r:id="rId5"/>
  </sheets>
  <definedNames>
    <definedName name="ExternalData_1" localSheetId="0" hidden="1">AAPL!$A$1:$G$115</definedName>
    <definedName name="ExternalData_1" localSheetId="3" hidden="1">BA!$A$1:$G$115</definedName>
    <definedName name="ExternalData_1" localSheetId="1" hidden="1">MSFT!$A$1:$G$115</definedName>
    <definedName name="ExternalData_1" localSheetId="2" hidden="1">WMT!$A$1:$G$115</definedName>
  </definedNames>
  <calcPr calcId="191029"/>
</workbook>
</file>

<file path=xl/calcChain.xml><?xml version="1.0" encoding="utf-8"?>
<calcChain xmlns="http://schemas.openxmlformats.org/spreadsheetml/2006/main">
  <c r="M8" i="2" l="1"/>
  <c r="N8" i="2"/>
  <c r="O8" i="2"/>
  <c r="L8" i="2"/>
  <c r="M6" i="2"/>
  <c r="N6" i="2"/>
  <c r="O6" i="2"/>
  <c r="L6" i="2"/>
  <c r="H16" i="2"/>
  <c r="H37" i="2"/>
  <c r="H59" i="2"/>
  <c r="H80" i="2"/>
  <c r="H101" i="2"/>
  <c r="G16" i="2"/>
  <c r="G48" i="2"/>
  <c r="G80" i="2"/>
  <c r="G112" i="2"/>
  <c r="F21" i="2"/>
  <c r="F43" i="2"/>
  <c r="F64" i="2"/>
  <c r="F85" i="2"/>
  <c r="F107" i="2"/>
  <c r="E4" i="2"/>
  <c r="I4" i="2" s="1"/>
  <c r="E5" i="2"/>
  <c r="I5" i="2" s="1"/>
  <c r="E6" i="2"/>
  <c r="I6" i="2" s="1"/>
  <c r="E7" i="2"/>
  <c r="I7" i="2" s="1"/>
  <c r="E8" i="2"/>
  <c r="I8" i="2" s="1"/>
  <c r="E9" i="2"/>
  <c r="I9" i="2" s="1"/>
  <c r="E10" i="2"/>
  <c r="I10" i="2" s="1"/>
  <c r="E11" i="2"/>
  <c r="I11" i="2" s="1"/>
  <c r="E12" i="2"/>
  <c r="I12" i="2" s="1"/>
  <c r="E13" i="2"/>
  <c r="I13" i="2" s="1"/>
  <c r="E14" i="2"/>
  <c r="I14" i="2" s="1"/>
  <c r="E15" i="2"/>
  <c r="I15" i="2" s="1"/>
  <c r="E16" i="2"/>
  <c r="I16" i="2" s="1"/>
  <c r="E17" i="2"/>
  <c r="I17" i="2" s="1"/>
  <c r="E18" i="2"/>
  <c r="I18" i="2" s="1"/>
  <c r="E19" i="2"/>
  <c r="I19" i="2" s="1"/>
  <c r="E20" i="2"/>
  <c r="I20" i="2" s="1"/>
  <c r="E21" i="2"/>
  <c r="I21" i="2" s="1"/>
  <c r="E22" i="2"/>
  <c r="I22" i="2" s="1"/>
  <c r="E23" i="2"/>
  <c r="I23" i="2" s="1"/>
  <c r="E24" i="2"/>
  <c r="I24" i="2" s="1"/>
  <c r="E25" i="2"/>
  <c r="I25" i="2" s="1"/>
  <c r="E26" i="2"/>
  <c r="I26" i="2" s="1"/>
  <c r="E27" i="2"/>
  <c r="I27" i="2" s="1"/>
  <c r="E28" i="2"/>
  <c r="I28" i="2" s="1"/>
  <c r="E29" i="2"/>
  <c r="I29" i="2" s="1"/>
  <c r="E30" i="2"/>
  <c r="I30" i="2" s="1"/>
  <c r="E31" i="2"/>
  <c r="I31" i="2" s="1"/>
  <c r="E32" i="2"/>
  <c r="I32" i="2" s="1"/>
  <c r="E33" i="2"/>
  <c r="I33" i="2" s="1"/>
  <c r="E34" i="2"/>
  <c r="I34" i="2" s="1"/>
  <c r="E35" i="2"/>
  <c r="I35" i="2" s="1"/>
  <c r="E36" i="2"/>
  <c r="I36" i="2" s="1"/>
  <c r="E37" i="2"/>
  <c r="I37" i="2" s="1"/>
  <c r="E38" i="2"/>
  <c r="I38" i="2" s="1"/>
  <c r="E39" i="2"/>
  <c r="I39" i="2" s="1"/>
  <c r="E40" i="2"/>
  <c r="I40" i="2" s="1"/>
  <c r="E41" i="2"/>
  <c r="I41" i="2" s="1"/>
  <c r="E42" i="2"/>
  <c r="I42" i="2" s="1"/>
  <c r="E43" i="2"/>
  <c r="I43" i="2" s="1"/>
  <c r="E44" i="2"/>
  <c r="I44" i="2" s="1"/>
  <c r="E45" i="2"/>
  <c r="I45" i="2" s="1"/>
  <c r="E46" i="2"/>
  <c r="I46" i="2" s="1"/>
  <c r="E47" i="2"/>
  <c r="I47" i="2" s="1"/>
  <c r="E48" i="2"/>
  <c r="I48" i="2" s="1"/>
  <c r="E49" i="2"/>
  <c r="I49" i="2" s="1"/>
  <c r="E50" i="2"/>
  <c r="I50" i="2" s="1"/>
  <c r="E51" i="2"/>
  <c r="I51" i="2" s="1"/>
  <c r="E52" i="2"/>
  <c r="I52" i="2" s="1"/>
  <c r="E53" i="2"/>
  <c r="I53" i="2" s="1"/>
  <c r="E54" i="2"/>
  <c r="I54" i="2" s="1"/>
  <c r="E55" i="2"/>
  <c r="I55" i="2" s="1"/>
  <c r="E56" i="2"/>
  <c r="I56" i="2" s="1"/>
  <c r="E57" i="2"/>
  <c r="I57" i="2" s="1"/>
  <c r="E58" i="2"/>
  <c r="I58" i="2" s="1"/>
  <c r="E59" i="2"/>
  <c r="I59" i="2" s="1"/>
  <c r="E60" i="2"/>
  <c r="I60" i="2" s="1"/>
  <c r="E61" i="2"/>
  <c r="I61" i="2" s="1"/>
  <c r="E62" i="2"/>
  <c r="I62" i="2" s="1"/>
  <c r="E63" i="2"/>
  <c r="I63" i="2" s="1"/>
  <c r="E64" i="2"/>
  <c r="I64" i="2" s="1"/>
  <c r="E65" i="2"/>
  <c r="I65" i="2" s="1"/>
  <c r="E66" i="2"/>
  <c r="I66" i="2" s="1"/>
  <c r="E67" i="2"/>
  <c r="I67" i="2" s="1"/>
  <c r="E68" i="2"/>
  <c r="I68" i="2" s="1"/>
  <c r="E69" i="2"/>
  <c r="I69" i="2" s="1"/>
  <c r="E70" i="2"/>
  <c r="I70" i="2" s="1"/>
  <c r="E71" i="2"/>
  <c r="I71" i="2" s="1"/>
  <c r="E72" i="2"/>
  <c r="I72" i="2" s="1"/>
  <c r="E73" i="2"/>
  <c r="I73" i="2" s="1"/>
  <c r="E74" i="2"/>
  <c r="I74" i="2" s="1"/>
  <c r="E75" i="2"/>
  <c r="I75" i="2" s="1"/>
  <c r="E76" i="2"/>
  <c r="I76" i="2" s="1"/>
  <c r="E77" i="2"/>
  <c r="I77" i="2" s="1"/>
  <c r="E78" i="2"/>
  <c r="I78" i="2" s="1"/>
  <c r="E79" i="2"/>
  <c r="I79" i="2" s="1"/>
  <c r="E80" i="2"/>
  <c r="I80" i="2" s="1"/>
  <c r="E81" i="2"/>
  <c r="I81" i="2" s="1"/>
  <c r="E82" i="2"/>
  <c r="I82" i="2" s="1"/>
  <c r="E83" i="2"/>
  <c r="I83" i="2" s="1"/>
  <c r="E84" i="2"/>
  <c r="I84" i="2" s="1"/>
  <c r="E85" i="2"/>
  <c r="I85" i="2" s="1"/>
  <c r="E86" i="2"/>
  <c r="I86" i="2" s="1"/>
  <c r="E87" i="2"/>
  <c r="I87" i="2" s="1"/>
  <c r="E88" i="2"/>
  <c r="I88" i="2" s="1"/>
  <c r="E89" i="2"/>
  <c r="I89" i="2" s="1"/>
  <c r="E90" i="2"/>
  <c r="I90" i="2" s="1"/>
  <c r="E91" i="2"/>
  <c r="I91" i="2" s="1"/>
  <c r="E92" i="2"/>
  <c r="I92" i="2" s="1"/>
  <c r="E93" i="2"/>
  <c r="I93" i="2" s="1"/>
  <c r="E94" i="2"/>
  <c r="I94" i="2" s="1"/>
  <c r="E95" i="2"/>
  <c r="I95" i="2" s="1"/>
  <c r="E96" i="2"/>
  <c r="I96" i="2" s="1"/>
  <c r="E97" i="2"/>
  <c r="I97" i="2" s="1"/>
  <c r="E98" i="2"/>
  <c r="I98" i="2" s="1"/>
  <c r="E99" i="2"/>
  <c r="I99" i="2" s="1"/>
  <c r="E100" i="2"/>
  <c r="I100" i="2" s="1"/>
  <c r="E101" i="2"/>
  <c r="I101" i="2" s="1"/>
  <c r="E102" i="2"/>
  <c r="I102" i="2" s="1"/>
  <c r="E103" i="2"/>
  <c r="I103" i="2" s="1"/>
  <c r="E104" i="2"/>
  <c r="I104" i="2" s="1"/>
  <c r="E105" i="2"/>
  <c r="I105" i="2" s="1"/>
  <c r="E106" i="2"/>
  <c r="I106" i="2" s="1"/>
  <c r="E107" i="2"/>
  <c r="I107" i="2" s="1"/>
  <c r="E108" i="2"/>
  <c r="I108" i="2" s="1"/>
  <c r="E109" i="2"/>
  <c r="I109" i="2" s="1"/>
  <c r="E110" i="2"/>
  <c r="I110" i="2" s="1"/>
  <c r="E111" i="2"/>
  <c r="I111" i="2" s="1"/>
  <c r="E112" i="2"/>
  <c r="I112" i="2" s="1"/>
  <c r="E113" i="2"/>
  <c r="I113" i="2" s="1"/>
  <c r="E114" i="2"/>
  <c r="I114" i="2" s="1"/>
  <c r="E115" i="2"/>
  <c r="I115" i="2" s="1"/>
  <c r="E2" i="2"/>
  <c r="E3" i="2"/>
  <c r="I3" i="2" s="1"/>
  <c r="O7" i="2" s="1"/>
  <c r="E1" i="2"/>
  <c r="D6" i="2"/>
  <c r="H6" i="2" s="1"/>
  <c r="D7" i="2"/>
  <c r="H7" i="2" s="1"/>
  <c r="D8" i="2"/>
  <c r="H8" i="2" s="1"/>
  <c r="D9" i="2"/>
  <c r="H9" i="2" s="1"/>
  <c r="D10" i="2"/>
  <c r="H10" i="2" s="1"/>
  <c r="D11" i="2"/>
  <c r="H11" i="2" s="1"/>
  <c r="D12" i="2"/>
  <c r="H12" i="2" s="1"/>
  <c r="D13" i="2"/>
  <c r="H13" i="2" s="1"/>
  <c r="D14" i="2"/>
  <c r="H14" i="2" s="1"/>
  <c r="D15" i="2"/>
  <c r="H15" i="2" s="1"/>
  <c r="D16" i="2"/>
  <c r="D17" i="2"/>
  <c r="H17" i="2" s="1"/>
  <c r="D18" i="2"/>
  <c r="H18" i="2" s="1"/>
  <c r="D19" i="2"/>
  <c r="H19" i="2" s="1"/>
  <c r="D20" i="2"/>
  <c r="H20" i="2" s="1"/>
  <c r="D21" i="2"/>
  <c r="H21" i="2" s="1"/>
  <c r="D22" i="2"/>
  <c r="H22" i="2" s="1"/>
  <c r="D23" i="2"/>
  <c r="H23" i="2" s="1"/>
  <c r="D24" i="2"/>
  <c r="H24" i="2" s="1"/>
  <c r="D25" i="2"/>
  <c r="H25" i="2" s="1"/>
  <c r="D26" i="2"/>
  <c r="H26" i="2" s="1"/>
  <c r="D27" i="2"/>
  <c r="H27" i="2" s="1"/>
  <c r="D28" i="2"/>
  <c r="H28" i="2" s="1"/>
  <c r="D29" i="2"/>
  <c r="H29" i="2" s="1"/>
  <c r="D30" i="2"/>
  <c r="H30" i="2" s="1"/>
  <c r="D31" i="2"/>
  <c r="H31" i="2" s="1"/>
  <c r="D32" i="2"/>
  <c r="H32" i="2" s="1"/>
  <c r="D33" i="2"/>
  <c r="H33" i="2" s="1"/>
  <c r="D34" i="2"/>
  <c r="H34" i="2" s="1"/>
  <c r="D35" i="2"/>
  <c r="H35" i="2" s="1"/>
  <c r="D36" i="2"/>
  <c r="H36" i="2" s="1"/>
  <c r="D37" i="2"/>
  <c r="D38" i="2"/>
  <c r="H38" i="2" s="1"/>
  <c r="D39" i="2"/>
  <c r="H39" i="2" s="1"/>
  <c r="D40" i="2"/>
  <c r="H40" i="2" s="1"/>
  <c r="D41" i="2"/>
  <c r="H41" i="2" s="1"/>
  <c r="D42" i="2"/>
  <c r="H42" i="2" s="1"/>
  <c r="D43" i="2"/>
  <c r="H43" i="2" s="1"/>
  <c r="D44" i="2"/>
  <c r="H44" i="2" s="1"/>
  <c r="D45" i="2"/>
  <c r="H45" i="2" s="1"/>
  <c r="D46" i="2"/>
  <c r="H46" i="2" s="1"/>
  <c r="D47" i="2"/>
  <c r="H47" i="2" s="1"/>
  <c r="D48" i="2"/>
  <c r="H48" i="2" s="1"/>
  <c r="D49" i="2"/>
  <c r="H49" i="2" s="1"/>
  <c r="D50" i="2"/>
  <c r="H50" i="2" s="1"/>
  <c r="D51" i="2"/>
  <c r="H51" i="2" s="1"/>
  <c r="D52" i="2"/>
  <c r="H52" i="2" s="1"/>
  <c r="D53" i="2"/>
  <c r="H53" i="2" s="1"/>
  <c r="D54" i="2"/>
  <c r="H54" i="2" s="1"/>
  <c r="D55" i="2"/>
  <c r="H55" i="2" s="1"/>
  <c r="D56" i="2"/>
  <c r="H56" i="2" s="1"/>
  <c r="D57" i="2"/>
  <c r="H57" i="2" s="1"/>
  <c r="D58" i="2"/>
  <c r="H58" i="2" s="1"/>
  <c r="D59" i="2"/>
  <c r="D60" i="2"/>
  <c r="H60" i="2" s="1"/>
  <c r="D61" i="2"/>
  <c r="H61" i="2" s="1"/>
  <c r="D62" i="2"/>
  <c r="H62" i="2" s="1"/>
  <c r="D63" i="2"/>
  <c r="H63" i="2" s="1"/>
  <c r="D64" i="2"/>
  <c r="H64" i="2" s="1"/>
  <c r="D65" i="2"/>
  <c r="H65" i="2" s="1"/>
  <c r="D66" i="2"/>
  <c r="H66" i="2" s="1"/>
  <c r="D67" i="2"/>
  <c r="H67" i="2" s="1"/>
  <c r="D68" i="2"/>
  <c r="H68" i="2" s="1"/>
  <c r="D69" i="2"/>
  <c r="H69" i="2" s="1"/>
  <c r="D70" i="2"/>
  <c r="H70" i="2" s="1"/>
  <c r="D71" i="2"/>
  <c r="H71" i="2" s="1"/>
  <c r="D72" i="2"/>
  <c r="H72" i="2" s="1"/>
  <c r="D73" i="2"/>
  <c r="H73" i="2" s="1"/>
  <c r="D74" i="2"/>
  <c r="H74" i="2" s="1"/>
  <c r="D75" i="2"/>
  <c r="H75" i="2" s="1"/>
  <c r="D76" i="2"/>
  <c r="H76" i="2" s="1"/>
  <c r="D77" i="2"/>
  <c r="H77" i="2" s="1"/>
  <c r="D78" i="2"/>
  <c r="H78" i="2" s="1"/>
  <c r="D79" i="2"/>
  <c r="H79" i="2" s="1"/>
  <c r="D80" i="2"/>
  <c r="D81" i="2"/>
  <c r="H81" i="2" s="1"/>
  <c r="D82" i="2"/>
  <c r="H82" i="2" s="1"/>
  <c r="D83" i="2"/>
  <c r="H83" i="2" s="1"/>
  <c r="D84" i="2"/>
  <c r="H84" i="2" s="1"/>
  <c r="D85" i="2"/>
  <c r="H85" i="2" s="1"/>
  <c r="D86" i="2"/>
  <c r="H86" i="2" s="1"/>
  <c r="D87" i="2"/>
  <c r="H87" i="2" s="1"/>
  <c r="D88" i="2"/>
  <c r="H88" i="2" s="1"/>
  <c r="D89" i="2"/>
  <c r="H89" i="2" s="1"/>
  <c r="D90" i="2"/>
  <c r="H90" i="2" s="1"/>
  <c r="D91" i="2"/>
  <c r="H91" i="2" s="1"/>
  <c r="D92" i="2"/>
  <c r="H92" i="2" s="1"/>
  <c r="D93" i="2"/>
  <c r="H93" i="2" s="1"/>
  <c r="D94" i="2"/>
  <c r="H94" i="2" s="1"/>
  <c r="D95" i="2"/>
  <c r="H95" i="2" s="1"/>
  <c r="D96" i="2"/>
  <c r="H96" i="2" s="1"/>
  <c r="D97" i="2"/>
  <c r="H97" i="2" s="1"/>
  <c r="D98" i="2"/>
  <c r="H98" i="2" s="1"/>
  <c r="D99" i="2"/>
  <c r="H99" i="2" s="1"/>
  <c r="D100" i="2"/>
  <c r="H100" i="2" s="1"/>
  <c r="D101" i="2"/>
  <c r="D102" i="2"/>
  <c r="H102" i="2" s="1"/>
  <c r="D103" i="2"/>
  <c r="H103" i="2" s="1"/>
  <c r="D104" i="2"/>
  <c r="H104" i="2" s="1"/>
  <c r="D105" i="2"/>
  <c r="H105" i="2" s="1"/>
  <c r="D106" i="2"/>
  <c r="H106" i="2" s="1"/>
  <c r="D107" i="2"/>
  <c r="H107" i="2" s="1"/>
  <c r="D108" i="2"/>
  <c r="H108" i="2" s="1"/>
  <c r="D109" i="2"/>
  <c r="H109" i="2" s="1"/>
  <c r="D110" i="2"/>
  <c r="H110" i="2" s="1"/>
  <c r="D111" i="2"/>
  <c r="H111" i="2" s="1"/>
  <c r="D112" i="2"/>
  <c r="H112" i="2" s="1"/>
  <c r="D113" i="2"/>
  <c r="H113" i="2" s="1"/>
  <c r="D114" i="2"/>
  <c r="H114" i="2" s="1"/>
  <c r="D115" i="2"/>
  <c r="H115" i="2" s="1"/>
  <c r="D4" i="2"/>
  <c r="H4" i="2" s="1"/>
  <c r="D5" i="2"/>
  <c r="H5" i="2" s="1"/>
  <c r="D2" i="2"/>
  <c r="D3" i="2"/>
  <c r="H3" i="2" s="1"/>
  <c r="D1" i="2"/>
  <c r="C4" i="2"/>
  <c r="G4" i="2" s="1"/>
  <c r="C5" i="2"/>
  <c r="G5" i="2" s="1"/>
  <c r="C6" i="2"/>
  <c r="G6" i="2" s="1"/>
  <c r="C7" i="2"/>
  <c r="G7" i="2" s="1"/>
  <c r="C8" i="2"/>
  <c r="G8" i="2" s="1"/>
  <c r="C9" i="2"/>
  <c r="G9" i="2" s="1"/>
  <c r="C10" i="2"/>
  <c r="G10" i="2" s="1"/>
  <c r="C11" i="2"/>
  <c r="G11" i="2" s="1"/>
  <c r="C12" i="2"/>
  <c r="G12" i="2" s="1"/>
  <c r="C13" i="2"/>
  <c r="G13" i="2" s="1"/>
  <c r="C14" i="2"/>
  <c r="G14" i="2" s="1"/>
  <c r="C15" i="2"/>
  <c r="G15" i="2" s="1"/>
  <c r="C16" i="2"/>
  <c r="C17" i="2"/>
  <c r="G17" i="2" s="1"/>
  <c r="C18" i="2"/>
  <c r="G18" i="2" s="1"/>
  <c r="C19" i="2"/>
  <c r="G19" i="2" s="1"/>
  <c r="C20" i="2"/>
  <c r="G20" i="2" s="1"/>
  <c r="C21" i="2"/>
  <c r="G21" i="2" s="1"/>
  <c r="C22" i="2"/>
  <c r="G22" i="2" s="1"/>
  <c r="C23" i="2"/>
  <c r="G23" i="2" s="1"/>
  <c r="C24" i="2"/>
  <c r="G24" i="2" s="1"/>
  <c r="C25" i="2"/>
  <c r="G25" i="2" s="1"/>
  <c r="C26" i="2"/>
  <c r="G26" i="2" s="1"/>
  <c r="C27" i="2"/>
  <c r="G27" i="2" s="1"/>
  <c r="C28" i="2"/>
  <c r="G28" i="2" s="1"/>
  <c r="C29" i="2"/>
  <c r="G29" i="2" s="1"/>
  <c r="C30" i="2"/>
  <c r="G30" i="2" s="1"/>
  <c r="C31" i="2"/>
  <c r="G31" i="2" s="1"/>
  <c r="C32" i="2"/>
  <c r="G32" i="2" s="1"/>
  <c r="C33" i="2"/>
  <c r="G33" i="2" s="1"/>
  <c r="C34" i="2"/>
  <c r="G34" i="2" s="1"/>
  <c r="C35" i="2"/>
  <c r="G35" i="2" s="1"/>
  <c r="C36" i="2"/>
  <c r="G36" i="2" s="1"/>
  <c r="C37" i="2"/>
  <c r="G37" i="2" s="1"/>
  <c r="C38" i="2"/>
  <c r="G38" i="2" s="1"/>
  <c r="C39" i="2"/>
  <c r="G39" i="2" s="1"/>
  <c r="C40" i="2"/>
  <c r="G40" i="2" s="1"/>
  <c r="C41" i="2"/>
  <c r="G41" i="2" s="1"/>
  <c r="C42" i="2"/>
  <c r="G42" i="2" s="1"/>
  <c r="C43" i="2"/>
  <c r="G43" i="2" s="1"/>
  <c r="C44" i="2"/>
  <c r="G44" i="2" s="1"/>
  <c r="C45" i="2"/>
  <c r="G45" i="2" s="1"/>
  <c r="C46" i="2"/>
  <c r="G46" i="2" s="1"/>
  <c r="C47" i="2"/>
  <c r="G47" i="2" s="1"/>
  <c r="C48" i="2"/>
  <c r="C49" i="2"/>
  <c r="G49" i="2" s="1"/>
  <c r="C50" i="2"/>
  <c r="G50" i="2" s="1"/>
  <c r="C51" i="2"/>
  <c r="G51" i="2" s="1"/>
  <c r="C52" i="2"/>
  <c r="G52" i="2" s="1"/>
  <c r="C53" i="2"/>
  <c r="G53" i="2" s="1"/>
  <c r="C54" i="2"/>
  <c r="G54" i="2" s="1"/>
  <c r="C55" i="2"/>
  <c r="G55" i="2" s="1"/>
  <c r="C56" i="2"/>
  <c r="G56" i="2" s="1"/>
  <c r="C57" i="2"/>
  <c r="G57" i="2" s="1"/>
  <c r="C58" i="2"/>
  <c r="G58" i="2" s="1"/>
  <c r="C59" i="2"/>
  <c r="G59" i="2" s="1"/>
  <c r="C60" i="2"/>
  <c r="G60" i="2" s="1"/>
  <c r="C61" i="2"/>
  <c r="G61" i="2" s="1"/>
  <c r="C62" i="2"/>
  <c r="G62" i="2" s="1"/>
  <c r="C63" i="2"/>
  <c r="G63" i="2" s="1"/>
  <c r="C64" i="2"/>
  <c r="G64" i="2" s="1"/>
  <c r="C65" i="2"/>
  <c r="G65" i="2" s="1"/>
  <c r="C66" i="2"/>
  <c r="G66" i="2" s="1"/>
  <c r="C67" i="2"/>
  <c r="G67" i="2" s="1"/>
  <c r="C68" i="2"/>
  <c r="G68" i="2" s="1"/>
  <c r="C69" i="2"/>
  <c r="G69" i="2" s="1"/>
  <c r="C70" i="2"/>
  <c r="G70" i="2" s="1"/>
  <c r="C71" i="2"/>
  <c r="G71" i="2" s="1"/>
  <c r="C72" i="2"/>
  <c r="G72" i="2" s="1"/>
  <c r="C73" i="2"/>
  <c r="G73" i="2" s="1"/>
  <c r="C74" i="2"/>
  <c r="G74" i="2" s="1"/>
  <c r="C75" i="2"/>
  <c r="G75" i="2" s="1"/>
  <c r="C76" i="2"/>
  <c r="G76" i="2" s="1"/>
  <c r="C77" i="2"/>
  <c r="G77" i="2" s="1"/>
  <c r="C78" i="2"/>
  <c r="G78" i="2" s="1"/>
  <c r="C79" i="2"/>
  <c r="G79" i="2" s="1"/>
  <c r="C80" i="2"/>
  <c r="C81" i="2"/>
  <c r="G81" i="2" s="1"/>
  <c r="C82" i="2"/>
  <c r="G82" i="2" s="1"/>
  <c r="C83" i="2"/>
  <c r="G83" i="2" s="1"/>
  <c r="C84" i="2"/>
  <c r="G84" i="2" s="1"/>
  <c r="C85" i="2"/>
  <c r="G85" i="2" s="1"/>
  <c r="C86" i="2"/>
  <c r="G86" i="2" s="1"/>
  <c r="C87" i="2"/>
  <c r="G87" i="2" s="1"/>
  <c r="C88" i="2"/>
  <c r="G88" i="2" s="1"/>
  <c r="C89" i="2"/>
  <c r="G89" i="2" s="1"/>
  <c r="C90" i="2"/>
  <c r="G90" i="2" s="1"/>
  <c r="C91" i="2"/>
  <c r="G91" i="2" s="1"/>
  <c r="C92" i="2"/>
  <c r="G92" i="2" s="1"/>
  <c r="C93" i="2"/>
  <c r="G93" i="2" s="1"/>
  <c r="C94" i="2"/>
  <c r="G94" i="2" s="1"/>
  <c r="C95" i="2"/>
  <c r="G95" i="2" s="1"/>
  <c r="C96" i="2"/>
  <c r="G96" i="2" s="1"/>
  <c r="C97" i="2"/>
  <c r="G97" i="2" s="1"/>
  <c r="C98" i="2"/>
  <c r="G98" i="2" s="1"/>
  <c r="C99" i="2"/>
  <c r="G99" i="2" s="1"/>
  <c r="C100" i="2"/>
  <c r="G100" i="2" s="1"/>
  <c r="C101" i="2"/>
  <c r="G101" i="2" s="1"/>
  <c r="C102" i="2"/>
  <c r="G102" i="2" s="1"/>
  <c r="C103" i="2"/>
  <c r="G103" i="2" s="1"/>
  <c r="C104" i="2"/>
  <c r="G104" i="2" s="1"/>
  <c r="C105" i="2"/>
  <c r="G105" i="2" s="1"/>
  <c r="C106" i="2"/>
  <c r="G106" i="2" s="1"/>
  <c r="C107" i="2"/>
  <c r="G107" i="2" s="1"/>
  <c r="C108" i="2"/>
  <c r="G108" i="2" s="1"/>
  <c r="C109" i="2"/>
  <c r="G109" i="2" s="1"/>
  <c r="C110" i="2"/>
  <c r="G110" i="2" s="1"/>
  <c r="C111" i="2"/>
  <c r="G111" i="2" s="1"/>
  <c r="C112" i="2"/>
  <c r="C113" i="2"/>
  <c r="G113" i="2" s="1"/>
  <c r="C114" i="2"/>
  <c r="G114" i="2" s="1"/>
  <c r="C115" i="2"/>
  <c r="G115" i="2" s="1"/>
  <c r="C2" i="2"/>
  <c r="C3" i="2"/>
  <c r="G3" i="2" s="1"/>
  <c r="M7" i="2" s="1"/>
  <c r="C1" i="2"/>
  <c r="B6" i="2"/>
  <c r="F6" i="2" s="1"/>
  <c r="B7" i="2"/>
  <c r="F7" i="2" s="1"/>
  <c r="B8" i="2"/>
  <c r="F8" i="2" s="1"/>
  <c r="B9" i="2"/>
  <c r="F9" i="2" s="1"/>
  <c r="B10" i="2"/>
  <c r="F10" i="2" s="1"/>
  <c r="B11" i="2"/>
  <c r="F11" i="2" s="1"/>
  <c r="B12" i="2"/>
  <c r="F12" i="2" s="1"/>
  <c r="B13" i="2"/>
  <c r="F13" i="2" s="1"/>
  <c r="B14" i="2"/>
  <c r="F14" i="2" s="1"/>
  <c r="B15" i="2"/>
  <c r="F15" i="2" s="1"/>
  <c r="B16" i="2"/>
  <c r="F16" i="2" s="1"/>
  <c r="B17" i="2"/>
  <c r="F17" i="2" s="1"/>
  <c r="B18" i="2"/>
  <c r="F18" i="2" s="1"/>
  <c r="B19" i="2"/>
  <c r="F19" i="2" s="1"/>
  <c r="B20" i="2"/>
  <c r="F20" i="2" s="1"/>
  <c r="B21" i="2"/>
  <c r="B22" i="2"/>
  <c r="F22" i="2" s="1"/>
  <c r="B23" i="2"/>
  <c r="F23" i="2" s="1"/>
  <c r="B24" i="2"/>
  <c r="F24" i="2" s="1"/>
  <c r="B25" i="2"/>
  <c r="F25" i="2" s="1"/>
  <c r="B26" i="2"/>
  <c r="F26" i="2" s="1"/>
  <c r="B27" i="2"/>
  <c r="F27" i="2" s="1"/>
  <c r="B28" i="2"/>
  <c r="F28" i="2" s="1"/>
  <c r="B29" i="2"/>
  <c r="F29" i="2" s="1"/>
  <c r="B30" i="2"/>
  <c r="F30" i="2" s="1"/>
  <c r="B31" i="2"/>
  <c r="F31" i="2" s="1"/>
  <c r="B32" i="2"/>
  <c r="F32" i="2" s="1"/>
  <c r="B33" i="2"/>
  <c r="F33" i="2" s="1"/>
  <c r="B34" i="2"/>
  <c r="F34" i="2" s="1"/>
  <c r="B35" i="2"/>
  <c r="F35" i="2" s="1"/>
  <c r="B36" i="2"/>
  <c r="F36" i="2" s="1"/>
  <c r="B37" i="2"/>
  <c r="F37" i="2" s="1"/>
  <c r="B38" i="2"/>
  <c r="F38" i="2" s="1"/>
  <c r="B39" i="2"/>
  <c r="F39" i="2" s="1"/>
  <c r="B40" i="2"/>
  <c r="F40" i="2" s="1"/>
  <c r="B41" i="2"/>
  <c r="F41" i="2" s="1"/>
  <c r="B42" i="2"/>
  <c r="F42" i="2" s="1"/>
  <c r="B43" i="2"/>
  <c r="B44" i="2"/>
  <c r="F44" i="2" s="1"/>
  <c r="B45" i="2"/>
  <c r="F45" i="2" s="1"/>
  <c r="B46" i="2"/>
  <c r="F46" i="2" s="1"/>
  <c r="B47" i="2"/>
  <c r="F47" i="2" s="1"/>
  <c r="B48" i="2"/>
  <c r="F48" i="2" s="1"/>
  <c r="B49" i="2"/>
  <c r="F49" i="2" s="1"/>
  <c r="B50" i="2"/>
  <c r="F50" i="2" s="1"/>
  <c r="B51" i="2"/>
  <c r="F51" i="2" s="1"/>
  <c r="B52" i="2"/>
  <c r="F52" i="2" s="1"/>
  <c r="B53" i="2"/>
  <c r="F53" i="2" s="1"/>
  <c r="B54" i="2"/>
  <c r="F54" i="2" s="1"/>
  <c r="B55" i="2"/>
  <c r="F55" i="2" s="1"/>
  <c r="B56" i="2"/>
  <c r="F56" i="2" s="1"/>
  <c r="B57" i="2"/>
  <c r="F57" i="2" s="1"/>
  <c r="B58" i="2"/>
  <c r="F58" i="2" s="1"/>
  <c r="B59" i="2"/>
  <c r="F59" i="2" s="1"/>
  <c r="B60" i="2"/>
  <c r="F60" i="2" s="1"/>
  <c r="B61" i="2"/>
  <c r="F61" i="2" s="1"/>
  <c r="B62" i="2"/>
  <c r="F62" i="2" s="1"/>
  <c r="B63" i="2"/>
  <c r="F63" i="2" s="1"/>
  <c r="B64" i="2"/>
  <c r="B65" i="2"/>
  <c r="F65" i="2" s="1"/>
  <c r="B66" i="2"/>
  <c r="F66" i="2" s="1"/>
  <c r="B67" i="2"/>
  <c r="F67" i="2" s="1"/>
  <c r="B68" i="2"/>
  <c r="F68" i="2" s="1"/>
  <c r="B69" i="2"/>
  <c r="F69" i="2" s="1"/>
  <c r="B70" i="2"/>
  <c r="F70" i="2" s="1"/>
  <c r="B71" i="2"/>
  <c r="F71" i="2" s="1"/>
  <c r="B72" i="2"/>
  <c r="F72" i="2" s="1"/>
  <c r="B73" i="2"/>
  <c r="F73" i="2" s="1"/>
  <c r="B74" i="2"/>
  <c r="F74" i="2" s="1"/>
  <c r="B75" i="2"/>
  <c r="F75" i="2" s="1"/>
  <c r="B76" i="2"/>
  <c r="F76" i="2" s="1"/>
  <c r="B77" i="2"/>
  <c r="F77" i="2" s="1"/>
  <c r="B78" i="2"/>
  <c r="F78" i="2" s="1"/>
  <c r="B79" i="2"/>
  <c r="F79" i="2" s="1"/>
  <c r="B80" i="2"/>
  <c r="F80" i="2" s="1"/>
  <c r="B81" i="2"/>
  <c r="F81" i="2" s="1"/>
  <c r="B82" i="2"/>
  <c r="F82" i="2" s="1"/>
  <c r="B83" i="2"/>
  <c r="F83" i="2" s="1"/>
  <c r="B84" i="2"/>
  <c r="F84" i="2" s="1"/>
  <c r="B85" i="2"/>
  <c r="B86" i="2"/>
  <c r="F86" i="2" s="1"/>
  <c r="B87" i="2"/>
  <c r="F87" i="2" s="1"/>
  <c r="B88" i="2"/>
  <c r="F88" i="2" s="1"/>
  <c r="B89" i="2"/>
  <c r="F89" i="2" s="1"/>
  <c r="B90" i="2"/>
  <c r="F90" i="2" s="1"/>
  <c r="B91" i="2"/>
  <c r="F91" i="2" s="1"/>
  <c r="B92" i="2"/>
  <c r="F92" i="2" s="1"/>
  <c r="B93" i="2"/>
  <c r="F93" i="2" s="1"/>
  <c r="B94" i="2"/>
  <c r="F94" i="2" s="1"/>
  <c r="B95" i="2"/>
  <c r="F95" i="2" s="1"/>
  <c r="B96" i="2"/>
  <c r="F96" i="2" s="1"/>
  <c r="B97" i="2"/>
  <c r="F97" i="2" s="1"/>
  <c r="B98" i="2"/>
  <c r="F98" i="2" s="1"/>
  <c r="B99" i="2"/>
  <c r="F99" i="2" s="1"/>
  <c r="B100" i="2"/>
  <c r="F100" i="2" s="1"/>
  <c r="B101" i="2"/>
  <c r="F101" i="2" s="1"/>
  <c r="B102" i="2"/>
  <c r="F102" i="2" s="1"/>
  <c r="B103" i="2"/>
  <c r="F103" i="2" s="1"/>
  <c r="B104" i="2"/>
  <c r="F104" i="2" s="1"/>
  <c r="B105" i="2"/>
  <c r="F105" i="2" s="1"/>
  <c r="B106" i="2"/>
  <c r="F106" i="2" s="1"/>
  <c r="B107" i="2"/>
  <c r="B108" i="2"/>
  <c r="F108" i="2" s="1"/>
  <c r="B109" i="2"/>
  <c r="F109" i="2" s="1"/>
  <c r="B110" i="2"/>
  <c r="F110" i="2" s="1"/>
  <c r="B111" i="2"/>
  <c r="F111" i="2" s="1"/>
  <c r="B112" i="2"/>
  <c r="F112" i="2" s="1"/>
  <c r="B113" i="2"/>
  <c r="F113" i="2" s="1"/>
  <c r="B114" i="2"/>
  <c r="F114" i="2" s="1"/>
  <c r="B115" i="2"/>
  <c r="F115" i="2" s="1"/>
  <c r="B2" i="2"/>
  <c r="B3" i="2"/>
  <c r="F3" i="2" s="1"/>
  <c r="L7" i="2" s="1"/>
  <c r="B4" i="2"/>
  <c r="F4" i="2" s="1"/>
  <c r="B5" i="2"/>
  <c r="F5" i="2" s="1"/>
  <c r="B1" i="2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I4" i="3"/>
  <c r="H3" i="3"/>
  <c r="I5" i="3"/>
  <c r="I3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4" i="3"/>
  <c r="H3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4" i="6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3" i="5"/>
  <c r="H4" i="5"/>
  <c r="H3" i="4"/>
  <c r="H4" i="4"/>
  <c r="N7" i="2" l="1"/>
  <c r="L5" i="2"/>
  <c r="M5" i="2"/>
  <c r="L4" i="2"/>
  <c r="N5" i="2"/>
  <c r="N4" i="2"/>
  <c r="O5" i="2"/>
  <c r="O4" i="2"/>
  <c r="M4" i="2"/>
  <c r="L3" i="2"/>
  <c r="O3" i="2"/>
  <c r="N3" i="2"/>
  <c r="M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175BB1C-2724-41CB-8B61-E8166F84A673}" keepAlive="1" name="Query - AAPL" description="Connection to the 'AAPL' query in the workbook." type="5" refreshedVersion="8" background="1" saveData="1">
    <dbPr connection="Provider=Microsoft.Mashup.OleDb.1;Data Source=$Workbook$;Location=AAPL;Extended Properties=&quot;&quot;" command="SELECT * FROM [AAPL]"/>
  </connection>
  <connection id="2" xr16:uid="{B7B3BC98-41CA-48B9-A19D-378ADCD3476B}" keepAlive="1" name="Query - BA" description="Connection to the 'BA' query in the workbook." type="5" refreshedVersion="8" background="1" saveData="1">
    <dbPr connection="Provider=Microsoft.Mashup.OleDb.1;Data Source=$Workbook$;Location=BA;Extended Properties=&quot;&quot;" command="SELECT * FROM [BA]"/>
  </connection>
  <connection id="3" xr16:uid="{6A635427-6D8E-42C4-8FA4-8B31BEE52A17}" keepAlive="1" name="Query - MSFT" description="Connection to the 'MSFT' query in the workbook." type="5" refreshedVersion="8" background="1" saveData="1">
    <dbPr connection="Provider=Microsoft.Mashup.OleDb.1;Data Source=$Workbook$;Location=MSFT;Extended Properties=&quot;&quot;" command="SELECT * FROM [MSFT]"/>
  </connection>
  <connection id="4" xr16:uid="{D23FD9D1-71E6-49A7-BB08-4B17A91CE696}" keepAlive="1" name="Query - WMT" description="Connection to the 'WMT' query in the workbook." type="5" refreshedVersion="8" background="1" saveData="1">
    <dbPr connection="Provider=Microsoft.Mashup.OleDb.1;Data Source=$Workbook$;Location=WMT;Extended Properties=&quot;&quot;" command="SELECT * FROM [WMT]"/>
  </connection>
</connections>
</file>

<file path=xl/sharedStrings.xml><?xml version="1.0" encoding="utf-8"?>
<sst xmlns="http://schemas.openxmlformats.org/spreadsheetml/2006/main" count="57" uniqueCount="32">
  <si>
    <t>Date</t>
  </si>
  <si>
    <t>Open</t>
  </si>
  <si>
    <t>High</t>
  </si>
  <si>
    <t>Low</t>
  </si>
  <si>
    <t>Close</t>
  </si>
  <si>
    <t>Adj Close</t>
  </si>
  <si>
    <t>Volume</t>
  </si>
  <si>
    <t>AAPL</t>
  </si>
  <si>
    <t>0</t>
  </si>
  <si>
    <t>Column1</t>
  </si>
  <si>
    <t>MSFT</t>
  </si>
  <si>
    <t>WMT</t>
  </si>
  <si>
    <t>BA</t>
  </si>
  <si>
    <t>MEAN</t>
  </si>
  <si>
    <t>VARIANCE</t>
  </si>
  <si>
    <t>STANDARD DEVIATION</t>
  </si>
  <si>
    <t>The highest-return stock is not always the best performing stocks</t>
  </si>
  <si>
    <t>Variance = volatility = risk</t>
  </si>
  <si>
    <t>AAPL_Revised</t>
  </si>
  <si>
    <t>WMT has the lowest variance = lowest risk</t>
  </si>
  <si>
    <t>SHARPE RATIO</t>
  </si>
  <si>
    <t>MSFT_Revised</t>
  </si>
  <si>
    <t>WMT_Revised</t>
  </si>
  <si>
    <t>BA_Revised</t>
  </si>
  <si>
    <t>DOWNSIDE STDEV</t>
  </si>
  <si>
    <t>Sharpe ratio = (return - risk free rate)/ standard devioation</t>
  </si>
  <si>
    <t xml:space="preserve">SORTINO RATIO </t>
  </si>
  <si>
    <t xml:space="preserve">MSFT has higest </t>
  </si>
  <si>
    <t>MSFT has highest</t>
  </si>
  <si>
    <t>Sharpe Ratio</t>
  </si>
  <si>
    <t>Sortino Ratio</t>
  </si>
  <si>
    <t>risk free rate = 0.365%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</si>
</sst>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0000"/>
      <name val="Segoe UI"/>
      <family val="2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10" fontId="0" fillId="0" borderId="0" xfId="42" applyNumberFormat="1" applyFont="1"/>
    <xf numFmtId="0" fontId="18" fillId="0" borderId="0" xfId="0" applyFont="1"/>
    <xf numFmtId="10" fontId="18" fillId="0" borderId="0" xfId="42" applyNumberFormat="1" applyFont="1"/>
    <xf numFmtId="10" fontId="18" fillId="0" borderId="0" xfId="0" applyNumberFormat="1" applyFont="1"/>
    <xf numFmtId="10" fontId="0" fillId="0" borderId="0" xfId="0" applyNumberFormat="1"/>
    <xf numFmtId="164" fontId="0" fillId="0" borderId="0" xfId="0" applyNumberFormat="1"/>
    <xf numFmtId="0" fontId="19" fillId="0" borderId="0" xfId="43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Compairing</a:t>
            </a:r>
            <a:r>
              <a:rPr lang="en-IN" baseline="0"/>
              <a:t> Stock Returns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Sheet1!$K$6</c:f>
              <c:strCache>
                <c:ptCount val="1"/>
                <c:pt idx="0">
                  <c:v>SHARPE RATIO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Sheet1!$L$2:$O$2</c:f>
              <c:strCache>
                <c:ptCount val="4"/>
                <c:pt idx="0">
                  <c:v>AAPL</c:v>
                </c:pt>
                <c:pt idx="1">
                  <c:v>MSFT</c:v>
                </c:pt>
                <c:pt idx="2">
                  <c:v>WMT</c:v>
                </c:pt>
                <c:pt idx="3">
                  <c:v>BA</c:v>
                </c:pt>
              </c:strCache>
            </c:strRef>
          </c:cat>
          <c:val>
            <c:numRef>
              <c:f>Sheet1!$L$6:$O$6</c:f>
              <c:numCache>
                <c:formatCode>General</c:formatCode>
                <c:ptCount val="4"/>
                <c:pt idx="0">
                  <c:v>0.21395047474193732</c:v>
                </c:pt>
                <c:pt idx="1">
                  <c:v>0.33207901099003179</c:v>
                </c:pt>
                <c:pt idx="2">
                  <c:v>0.1271725211587732</c:v>
                </c:pt>
                <c:pt idx="3">
                  <c:v>5.4499299805744555E-2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E5-4448-97D0-04FB1CBF7783}"/>
            </c:ext>
          </c:extLst>
        </c:ser>
        <c:ser>
          <c:idx val="1"/>
          <c:order val="1"/>
          <c:tx>
            <c:strRef>
              <c:f>Sheet1!$K$8</c:f>
              <c:strCache>
                <c:ptCount val="1"/>
                <c:pt idx="0">
                  <c:v>SORTINO RATIO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Sheet1!$L$2:$O$2</c:f>
              <c:strCache>
                <c:ptCount val="4"/>
                <c:pt idx="0">
                  <c:v>AAPL</c:v>
                </c:pt>
                <c:pt idx="1">
                  <c:v>MSFT</c:v>
                </c:pt>
                <c:pt idx="2">
                  <c:v>WMT</c:v>
                </c:pt>
                <c:pt idx="3">
                  <c:v>BA</c:v>
                </c:pt>
              </c:strCache>
            </c:strRef>
          </c:cat>
          <c:val>
            <c:numRef>
              <c:f>Sheet1!$L$8:$O$8</c:f>
              <c:numCache>
                <c:formatCode>General</c:formatCode>
                <c:ptCount val="4"/>
                <c:pt idx="0">
                  <c:v>0.44421770985676523</c:v>
                </c:pt>
                <c:pt idx="1">
                  <c:v>0.76810439956423326</c:v>
                </c:pt>
                <c:pt idx="2">
                  <c:v>0.22447634314166973</c:v>
                </c:pt>
                <c:pt idx="3">
                  <c:v>9.5273351858473201E-2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E5-4448-97D0-04FB1CBF7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9240880"/>
        <c:axId val="1639245200"/>
      </c:barChart>
      <c:catAx>
        <c:axId val="163924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9245200"/>
        <c:crosses val="autoZero"/>
        <c:auto val="1"/>
        <c:lblAlgn val="ctr"/>
        <c:lblOffset val="100"/>
        <c:noMultiLvlLbl val="0"/>
      </c:catAx>
      <c:valAx>
        <c:axId val="163924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924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845820</xdr:colOff>
      <xdr:row>9</xdr:row>
      <xdr:rowOff>72390</xdr:rowOff>
    </xdr:from>
    <xdr:to>
      <xdr:col>17</xdr:col>
      <xdr:colOff>350520</xdr:colOff>
      <xdr:row>24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B77590-A9AD-9CFC-6EBA-2F3826BAF0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68BC5A8-054A-41E2-8B13-B7A2E86A86EF}" autoFormatId="16" applyNumberFormats="0" applyBorderFormats="0" applyFontFormats="0" applyPatternFormats="0" applyAlignmentFormats="0" applyWidthHeightFormats="0">
  <queryTableRefresh nextId="11" unboundColumnsRight="2">
    <queryTableFields count="9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9" dataBound="0" tableColumnId="8"/>
      <queryTableField id="10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C7B938A-FB23-4CCB-A96F-9DFEA698132C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E33A5B88-2B39-4085-9C6F-5AAE75E8CFCC}" autoFormatId="16" applyNumberFormats="0" applyBorderFormats="0" applyFontFormats="0" applyPatternFormats="0" applyAlignmentFormats="0" applyWidthHeightFormats="0">
  <queryTableRefresh nextId="10" unboundColumnsRight="1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28513E4-7CF0-493C-BBB9-E407251B6644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CBAA63-4123-4FD3-96B9-6D770B88883B}" name="AAPL" displayName="AAPL" ref="A1:I115" tableType="queryTable" totalsRowShown="0">
  <autoFilter ref="A1:I115" xr:uid="{34CBAA63-4123-4FD3-96B9-6D770B88883B}"/>
  <tableColumns count="9">
    <tableColumn id="1" xr3:uid="{C454EBB8-CFF1-4E32-B09B-74B9CE067809}" uniqueName="1" name="Date" queryTableFieldId="1" dataDxfId="7"/>
    <tableColumn id="2" xr3:uid="{88CF1CC7-20CB-478A-8E38-7DDF269D1E68}" uniqueName="2" name="Open" queryTableFieldId="2"/>
    <tableColumn id="3" xr3:uid="{058D8E81-1E59-4CA2-8872-430881488253}" uniqueName="3" name="High" queryTableFieldId="3"/>
    <tableColumn id="4" xr3:uid="{41EE0F9F-8C96-4380-BCBA-145214EC1C10}" uniqueName="4" name="Low" queryTableFieldId="4"/>
    <tableColumn id="5" xr3:uid="{61D2BAC4-D4B4-4F20-8D31-E183401C438C}" uniqueName="5" name="Close" queryTableFieldId="5"/>
    <tableColumn id="6" xr3:uid="{26F987BB-83C0-453C-B77D-4E0D43D0FBA9}" uniqueName="6" name="Adj Close" queryTableFieldId="6"/>
    <tableColumn id="7" xr3:uid="{2574A0D2-68A7-409A-817C-25B1E5556785}" uniqueName="7" name="Volume" queryTableFieldId="7"/>
    <tableColumn id="8" xr3:uid="{31E93FB0-04B6-4352-AFE4-6A77967A80F4}" uniqueName="8" name="AAPL" queryTableFieldId="9" dataDxfId="6">
      <calculatedColumnFormula>(F2-F1)/F1</calculatedColumnFormula>
    </tableColumn>
    <tableColumn id="9" xr3:uid="{BF78F7FC-AFD5-4031-985C-4A9D8EAFE1DC}" uniqueName="9" name="Column1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5F297B-D7E5-4B62-A4B7-FE6B07671A62}" name="MSFT" displayName="MSFT" ref="A1:H115" tableType="queryTable" totalsRowShown="0">
  <autoFilter ref="A1:H115" xr:uid="{775F297B-D7E5-4B62-A4B7-FE6B07671A62}"/>
  <tableColumns count="8">
    <tableColumn id="1" xr3:uid="{3E926F27-347D-4AA7-B7FE-D454FD15FDF3}" uniqueName="1" name="0" queryTableFieldId="1" dataDxfId="5"/>
    <tableColumn id="2" xr3:uid="{E74BFB32-7204-47AF-9714-3C77A5C9DBE8}" uniqueName="2" name="Open" queryTableFieldId="2"/>
    <tableColumn id="3" xr3:uid="{220AFFA9-FF44-472A-BD73-F9D262A4B4D2}" uniqueName="3" name="High" queryTableFieldId="3"/>
    <tableColumn id="4" xr3:uid="{981AEC6E-1C23-4059-A57A-72E81AA7A3D7}" uniqueName="4" name="Low" queryTableFieldId="4"/>
    <tableColumn id="5" xr3:uid="{A6C86C14-A124-4B80-96D7-9045EB8E1345}" uniqueName="5" name="Close" queryTableFieldId="5"/>
    <tableColumn id="6" xr3:uid="{92593308-CE4E-4E0E-8D47-B2E462E29E1B}" uniqueName="6" name="Adj Close" queryTableFieldId="6"/>
    <tableColumn id="7" xr3:uid="{88B3BFD4-ECF2-4CFA-B6F8-C3A0D0DF226C}" uniqueName="7" name="Volume" queryTableFieldId="7"/>
    <tableColumn id="8" xr3:uid="{15F78E87-9EA2-4F87-9CAB-1B6F446F8645}" uniqueName="8" name="MSFT" queryTableFieldId="8" dataDxfId="4">
      <calculatedColumnFormula>(F2-F1)/F1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74C77C-8EB6-4EE0-B97C-073CF2EB5C27}" name="WMT" displayName="WMT" ref="A1:H115" tableType="queryTable" totalsRowShown="0">
  <autoFilter ref="A1:H115" xr:uid="{6974C77C-8EB6-4EE0-B97C-073CF2EB5C27}"/>
  <tableColumns count="8">
    <tableColumn id="1" xr3:uid="{2690843D-1407-4607-9B95-7A0CC33D374F}" uniqueName="1" name="0" queryTableFieldId="1" dataDxfId="3"/>
    <tableColumn id="2" xr3:uid="{B2C90DFD-AA32-400B-946B-6E47DB05C9A2}" uniqueName="2" name="Open" queryTableFieldId="2"/>
    <tableColumn id="3" xr3:uid="{5D0562F1-6BE0-43BD-9B86-3453742C64C6}" uniqueName="3" name="High" queryTableFieldId="3"/>
    <tableColumn id="4" xr3:uid="{03EABCC8-D8AA-40BE-962B-B832058E58DA}" uniqueName="4" name="Low" queryTableFieldId="4"/>
    <tableColumn id="5" xr3:uid="{B806382C-4A5A-40F9-B55D-DA7D27456D68}" uniqueName="5" name="Close" queryTableFieldId="5"/>
    <tableColumn id="6" xr3:uid="{957D3703-6699-4DB1-88DD-243B9CFFCD9F}" uniqueName="6" name="Adj Close" queryTableFieldId="6"/>
    <tableColumn id="7" xr3:uid="{C7C0BC1C-9277-4FC9-B402-FDD165A5BE70}" uniqueName="7" name="Volume" queryTableFieldId="7"/>
    <tableColumn id="8" xr3:uid="{17F22E29-8D51-4A56-B29D-EFE02FC42133}" uniqueName="8" name="WMT" queryTableFieldId="8" dataDxfId="2">
      <calculatedColumnFormula>(F2-F1)/F1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6C4ECF-40D0-44BF-856B-1CAEACA895A6}" name="BA" displayName="BA" ref="A1:H115" tableType="queryTable" totalsRowShown="0">
  <autoFilter ref="A1:H115" xr:uid="{AF6C4ECF-40D0-44BF-856B-1CAEACA895A6}"/>
  <tableColumns count="8">
    <tableColumn id="1" xr3:uid="{C51DF79D-A9E6-43A3-9B2C-B9B4B4D39996}" uniqueName="1" name="0" queryTableFieldId="1" dataDxfId="1"/>
    <tableColumn id="2" xr3:uid="{115E22FA-4534-4144-A73A-7765164B4808}" uniqueName="2" name="Open" queryTableFieldId="2"/>
    <tableColumn id="3" xr3:uid="{E96EA9F7-E171-459C-95AF-20563F9D1386}" uniqueName="3" name="High" queryTableFieldId="3"/>
    <tableColumn id="4" xr3:uid="{0D3040B5-E44C-4B34-9167-2007EAC449CB}" uniqueName="4" name="Low" queryTableFieldId="4"/>
    <tableColumn id="5" xr3:uid="{D068AD29-96E7-48FC-9605-3E987FFF8866}" uniqueName="5" name="Close" queryTableFieldId="5"/>
    <tableColumn id="6" xr3:uid="{1984C029-4963-4B8A-ADA1-012AFACA365A}" uniqueName="6" name="Adj Close" queryTableFieldId="6"/>
    <tableColumn id="7" xr3:uid="{04E46841-09F1-417B-BD8F-20C948D71875}" uniqueName="7" name="Volume" queryTableFieldId="7"/>
    <tableColumn id="8" xr3:uid="{9A320E40-43B7-4233-80D7-38365CB0E875}" uniqueName="8" name="BA" queryTableFieldId="8" dataDxfId="0" dataCellStyle="Percent">
      <calculatedColumnFormula>(F2-F1)/F1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money.usnews.com/investing/articles/what-is-the-sortino-ratio" TargetMode="External"/><Relationship Id="rId1" Type="http://schemas.openxmlformats.org/officeDocument/2006/relationships/hyperlink" Target="https://www.investopedia.com/ask/answers/010815/what-good-sharpe-ratio.as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B91A9-C131-4D33-96AE-83503E59EAE6}">
  <sheetPr codeName="Sheet1"/>
  <dimension ref="A1:I115"/>
  <sheetViews>
    <sheetView topLeftCell="A100" workbookViewId="0">
      <selection sqref="A1:A1048576"/>
    </sheetView>
  </sheetViews>
  <sheetFormatPr defaultRowHeight="14.4" x14ac:dyDescent="0.3"/>
  <cols>
    <col min="1" max="1" width="10.33203125" bestFit="1" customWidth="1"/>
    <col min="2" max="7" width="11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</row>
    <row r="2" spans="1:9" x14ac:dyDescent="0.3">
      <c r="A2" s="1">
        <v>42005</v>
      </c>
      <c r="B2">
        <v>27.8475</v>
      </c>
      <c r="C2">
        <v>30</v>
      </c>
      <c r="D2">
        <v>26.157499000000001</v>
      </c>
      <c r="E2">
        <v>29.290001</v>
      </c>
      <c r="F2">
        <v>26.149802999999999</v>
      </c>
      <c r="G2">
        <v>5221053600</v>
      </c>
    </row>
    <row r="3" spans="1:9" x14ac:dyDescent="0.3">
      <c r="A3" s="1">
        <v>42036</v>
      </c>
      <c r="B3">
        <v>29.512501</v>
      </c>
      <c r="C3">
        <v>33.400002000000001</v>
      </c>
      <c r="D3">
        <v>29.02</v>
      </c>
      <c r="E3">
        <v>32.115001999999997</v>
      </c>
      <c r="F3">
        <v>28.671935999999999</v>
      </c>
      <c r="G3">
        <v>4546140800</v>
      </c>
      <c r="H3">
        <f t="shared" ref="H3" si="0">(F3-F2)/F2</f>
        <v>9.64494072861658E-2</v>
      </c>
      <c r="I3">
        <f>(F3-F2)/F2</f>
        <v>9.64494072861658E-2</v>
      </c>
    </row>
    <row r="4" spans="1:9" x14ac:dyDescent="0.3">
      <c r="A4" s="1">
        <v>42064</v>
      </c>
      <c r="B4">
        <v>32.3125</v>
      </c>
      <c r="C4">
        <v>32.57</v>
      </c>
      <c r="D4">
        <v>30.407499000000001</v>
      </c>
      <c r="E4">
        <v>31.107500000000002</v>
      </c>
      <c r="F4">
        <v>27.882059000000002</v>
      </c>
      <c r="G4">
        <v>4554568400</v>
      </c>
      <c r="H4" s="2">
        <f>(F4-F3)/F3</f>
        <v>-2.75487849861271E-2</v>
      </c>
      <c r="I4">
        <f>(F4-F3)/F3</f>
        <v>-2.75487849861271E-2</v>
      </c>
    </row>
    <row r="5" spans="1:9" x14ac:dyDescent="0.3">
      <c r="A5" s="1">
        <v>42095</v>
      </c>
      <c r="B5">
        <v>31.204999999999998</v>
      </c>
      <c r="C5">
        <v>33.634998000000003</v>
      </c>
      <c r="D5">
        <v>30.774999999999999</v>
      </c>
      <c r="E5">
        <v>31.287500000000001</v>
      </c>
      <c r="F5">
        <v>28.043396000000001</v>
      </c>
      <c r="G5">
        <v>3984542000</v>
      </c>
      <c r="H5" s="2">
        <f t="shared" ref="H5:H68" si="1">(F5-F4)/F4</f>
        <v>5.7864091027136702E-3</v>
      </c>
      <c r="I5">
        <f>(F4-F3)/F3</f>
        <v>-2.75487849861271E-2</v>
      </c>
    </row>
    <row r="6" spans="1:9" x14ac:dyDescent="0.3">
      <c r="A6" s="1">
        <v>42125</v>
      </c>
      <c r="B6">
        <v>31.524999999999999</v>
      </c>
      <c r="C6">
        <v>33.2425</v>
      </c>
      <c r="D6">
        <v>30.84</v>
      </c>
      <c r="E6">
        <v>32.57</v>
      </c>
      <c r="F6">
        <v>29.192920999999998</v>
      </c>
      <c r="G6">
        <v>3816608400</v>
      </c>
      <c r="H6" s="2">
        <f t="shared" si="1"/>
        <v>4.0990934193561895E-2</v>
      </c>
    </row>
    <row r="7" spans="1:9" x14ac:dyDescent="0.3">
      <c r="A7" s="1">
        <v>42156</v>
      </c>
      <c r="B7">
        <v>32.57</v>
      </c>
      <c r="C7">
        <v>32.847499999999997</v>
      </c>
      <c r="D7">
        <v>31.120000999999998</v>
      </c>
      <c r="E7">
        <v>31.357500000000002</v>
      </c>
      <c r="F7">
        <v>28.223535999999999</v>
      </c>
      <c r="G7">
        <v>3514426800</v>
      </c>
      <c r="H7" s="2">
        <f t="shared" si="1"/>
        <v>-3.3206166659376056E-2</v>
      </c>
    </row>
    <row r="8" spans="1:9" x14ac:dyDescent="0.3">
      <c r="A8" s="1">
        <v>42186</v>
      </c>
      <c r="B8">
        <v>31.725000000000001</v>
      </c>
      <c r="C8">
        <v>33.2425</v>
      </c>
      <c r="D8">
        <v>29.805</v>
      </c>
      <c r="E8">
        <v>30.325001</v>
      </c>
      <c r="F8">
        <v>27.294232999999998</v>
      </c>
      <c r="G8">
        <v>4233122400</v>
      </c>
      <c r="H8" s="2">
        <f t="shared" si="1"/>
        <v>-3.2926526286429912E-2</v>
      </c>
    </row>
    <row r="9" spans="1:9" x14ac:dyDescent="0.3">
      <c r="A9" s="1">
        <v>42217</v>
      </c>
      <c r="B9">
        <v>30.375</v>
      </c>
      <c r="C9">
        <v>30.642499999999998</v>
      </c>
      <c r="D9">
        <v>23</v>
      </c>
      <c r="E9">
        <v>28.190000999999999</v>
      </c>
      <c r="F9">
        <v>25.372608</v>
      </c>
      <c r="G9">
        <v>6427276400</v>
      </c>
      <c r="H9" s="2">
        <f t="shared" si="1"/>
        <v>-7.0404066675916449E-2</v>
      </c>
    </row>
    <row r="10" spans="1:9" x14ac:dyDescent="0.3">
      <c r="A10" s="1">
        <v>42248</v>
      </c>
      <c r="B10">
        <v>27.537500000000001</v>
      </c>
      <c r="C10">
        <v>29.2225</v>
      </c>
      <c r="D10">
        <v>26.84</v>
      </c>
      <c r="E10">
        <v>27.575001</v>
      </c>
      <c r="F10">
        <v>24.931417</v>
      </c>
      <c r="G10">
        <v>4826189200</v>
      </c>
      <c r="H10" s="2">
        <f t="shared" si="1"/>
        <v>-1.7388476580728316E-2</v>
      </c>
    </row>
    <row r="11" spans="1:9" x14ac:dyDescent="0.3">
      <c r="A11" s="1">
        <v>42278</v>
      </c>
      <c r="B11">
        <v>27.267499999999998</v>
      </c>
      <c r="C11">
        <v>30.305</v>
      </c>
      <c r="D11">
        <v>26.827499</v>
      </c>
      <c r="E11">
        <v>29.875</v>
      </c>
      <c r="F11">
        <v>27.010912000000001</v>
      </c>
      <c r="G11">
        <v>4450048400</v>
      </c>
      <c r="H11" s="2">
        <f t="shared" si="1"/>
        <v>8.3408616525887852E-2</v>
      </c>
    </row>
    <row r="12" spans="1:9" x14ac:dyDescent="0.3">
      <c r="A12" s="1">
        <v>42309</v>
      </c>
      <c r="B12">
        <v>30.200001</v>
      </c>
      <c r="C12">
        <v>30.954999999999998</v>
      </c>
      <c r="D12">
        <v>27.75</v>
      </c>
      <c r="E12">
        <v>29.575001</v>
      </c>
      <c r="F12">
        <v>26.739674000000001</v>
      </c>
      <c r="G12">
        <v>3002562400</v>
      </c>
      <c r="H12" s="2">
        <f t="shared" si="1"/>
        <v>-1.0041793479612992E-2</v>
      </c>
    </row>
    <row r="13" spans="1:9" x14ac:dyDescent="0.3">
      <c r="A13" s="1">
        <v>42339</v>
      </c>
      <c r="B13">
        <v>29.6875</v>
      </c>
      <c r="C13">
        <v>29.965</v>
      </c>
      <c r="D13">
        <v>26.204999999999998</v>
      </c>
      <c r="E13">
        <v>26.315000999999999</v>
      </c>
      <c r="F13">
        <v>23.894048999999999</v>
      </c>
      <c r="G13">
        <v>3687660800</v>
      </c>
      <c r="H13" s="2">
        <f t="shared" si="1"/>
        <v>-0.10641958462171236</v>
      </c>
    </row>
    <row r="14" spans="1:9" x14ac:dyDescent="0.3">
      <c r="A14" s="1">
        <v>42370</v>
      </c>
      <c r="B14">
        <v>25.6525</v>
      </c>
      <c r="C14">
        <v>26.462499999999999</v>
      </c>
      <c r="D14">
        <v>23.0975</v>
      </c>
      <c r="E14">
        <v>24.334999</v>
      </c>
      <c r="F14">
        <v>22.096209000000002</v>
      </c>
      <c r="G14">
        <v>5087392000</v>
      </c>
      <c r="H14" s="2">
        <f t="shared" si="1"/>
        <v>-7.5242165946842965E-2</v>
      </c>
    </row>
    <row r="15" spans="1:9" x14ac:dyDescent="0.3">
      <c r="A15" s="1">
        <v>42401</v>
      </c>
      <c r="B15">
        <v>24.1175</v>
      </c>
      <c r="C15">
        <v>24.7225</v>
      </c>
      <c r="D15">
        <v>23.147499</v>
      </c>
      <c r="E15">
        <v>24.172501</v>
      </c>
      <c r="F15">
        <v>21.948664000000001</v>
      </c>
      <c r="G15">
        <v>3243450400</v>
      </c>
      <c r="H15" s="2">
        <f t="shared" si="1"/>
        <v>-6.6773897730602076E-3</v>
      </c>
    </row>
    <row r="16" spans="1:9" x14ac:dyDescent="0.3">
      <c r="A16" s="1">
        <v>42430</v>
      </c>
      <c r="B16">
        <v>24.412500000000001</v>
      </c>
      <c r="C16">
        <v>27.605</v>
      </c>
      <c r="D16">
        <v>24.355</v>
      </c>
      <c r="E16">
        <v>27.247499000000001</v>
      </c>
      <c r="F16">
        <v>24.87501</v>
      </c>
      <c r="G16">
        <v>2984198400</v>
      </c>
      <c r="H16" s="2">
        <f t="shared" si="1"/>
        <v>0.13332683939213788</v>
      </c>
    </row>
    <row r="17" spans="1:8" x14ac:dyDescent="0.3">
      <c r="A17" s="1">
        <v>42461</v>
      </c>
      <c r="B17">
        <v>27.195</v>
      </c>
      <c r="C17">
        <v>28.0975</v>
      </c>
      <c r="D17">
        <v>23.127500999999999</v>
      </c>
      <c r="E17">
        <v>23.434999000000001</v>
      </c>
      <c r="F17">
        <v>21.394472</v>
      </c>
      <c r="G17">
        <v>3489534800</v>
      </c>
      <c r="H17" s="2">
        <f t="shared" si="1"/>
        <v>-0.13992106937846455</v>
      </c>
    </row>
    <row r="18" spans="1:8" x14ac:dyDescent="0.3">
      <c r="A18" s="1">
        <v>42491</v>
      </c>
      <c r="B18">
        <v>23.4925</v>
      </c>
      <c r="C18">
        <v>25.182500999999998</v>
      </c>
      <c r="D18">
        <v>22.3675</v>
      </c>
      <c r="E18">
        <v>24.965</v>
      </c>
      <c r="F18">
        <v>22.791253999999999</v>
      </c>
      <c r="G18">
        <v>3602686000</v>
      </c>
      <c r="H18" s="2">
        <f t="shared" si="1"/>
        <v>6.5287051720649997E-2</v>
      </c>
    </row>
    <row r="19" spans="1:8" x14ac:dyDescent="0.3">
      <c r="A19" s="1">
        <v>42522</v>
      </c>
      <c r="B19">
        <v>24.754999000000002</v>
      </c>
      <c r="C19">
        <v>25.4725</v>
      </c>
      <c r="D19">
        <v>22.875</v>
      </c>
      <c r="E19">
        <v>23.9</v>
      </c>
      <c r="F19">
        <v>21.951830000000001</v>
      </c>
      <c r="G19">
        <v>3117990800</v>
      </c>
      <c r="H19" s="2">
        <f t="shared" si="1"/>
        <v>-3.6830970336252565E-2</v>
      </c>
    </row>
    <row r="20" spans="1:8" x14ac:dyDescent="0.3">
      <c r="A20" s="1">
        <v>42552</v>
      </c>
      <c r="B20">
        <v>23.872499000000001</v>
      </c>
      <c r="C20">
        <v>26.137501</v>
      </c>
      <c r="D20">
        <v>23.592500999999999</v>
      </c>
      <c r="E20">
        <v>26.052499999999998</v>
      </c>
      <c r="F20">
        <v>23.928867</v>
      </c>
      <c r="G20">
        <v>2743118400</v>
      </c>
      <c r="H20" s="2">
        <f t="shared" si="1"/>
        <v>9.0062514150300865E-2</v>
      </c>
    </row>
    <row r="21" spans="1:8" x14ac:dyDescent="0.3">
      <c r="A21" s="1">
        <v>42583</v>
      </c>
      <c r="B21">
        <v>26.102501</v>
      </c>
      <c r="C21">
        <v>27.557500999999998</v>
      </c>
      <c r="D21">
        <v>26</v>
      </c>
      <c r="E21">
        <v>26.524999999999999</v>
      </c>
      <c r="F21">
        <v>24.362850000000002</v>
      </c>
      <c r="G21">
        <v>2520514000</v>
      </c>
      <c r="H21" s="2">
        <f t="shared" si="1"/>
        <v>1.8136378960190692E-2</v>
      </c>
    </row>
    <row r="22" spans="1:8" x14ac:dyDescent="0.3">
      <c r="A22" s="1">
        <v>42614</v>
      </c>
      <c r="B22">
        <v>26.535</v>
      </c>
      <c r="C22">
        <v>29.045000000000002</v>
      </c>
      <c r="D22">
        <v>25.6325</v>
      </c>
      <c r="E22">
        <v>28.262501</v>
      </c>
      <c r="F22">
        <v>26.099354000000002</v>
      </c>
      <c r="G22">
        <v>3872062400</v>
      </c>
      <c r="H22" s="2">
        <f t="shared" si="1"/>
        <v>7.1276718446322981E-2</v>
      </c>
    </row>
    <row r="23" spans="1:8" x14ac:dyDescent="0.3">
      <c r="A23" s="1">
        <v>42644</v>
      </c>
      <c r="B23">
        <v>28.177499999999998</v>
      </c>
      <c r="C23">
        <v>29.672501</v>
      </c>
      <c r="D23">
        <v>28.07</v>
      </c>
      <c r="E23">
        <v>28.385000000000002</v>
      </c>
      <c r="F23">
        <v>26.212477</v>
      </c>
      <c r="G23">
        <v>2747657200</v>
      </c>
      <c r="H23" s="2">
        <f t="shared" si="1"/>
        <v>4.3343218380040398E-3</v>
      </c>
    </row>
    <row r="24" spans="1:8" x14ac:dyDescent="0.3">
      <c r="A24" s="1">
        <v>42675</v>
      </c>
      <c r="B24">
        <v>28.364999999999998</v>
      </c>
      <c r="C24">
        <v>28.442499000000002</v>
      </c>
      <c r="D24">
        <v>26.02</v>
      </c>
      <c r="E24">
        <v>27.629999000000002</v>
      </c>
      <c r="F24">
        <v>25.515255</v>
      </c>
      <c r="G24">
        <v>2886220000</v>
      </c>
      <c r="H24" s="2">
        <f t="shared" si="1"/>
        <v>-2.6598859772008574E-2</v>
      </c>
    </row>
    <row r="25" spans="1:8" x14ac:dyDescent="0.3">
      <c r="A25" s="1">
        <v>42705</v>
      </c>
      <c r="B25">
        <v>27.592500999999999</v>
      </c>
      <c r="C25">
        <v>29.504999000000002</v>
      </c>
      <c r="D25">
        <v>27.0625</v>
      </c>
      <c r="E25">
        <v>28.954999999999998</v>
      </c>
      <c r="F25">
        <v>26.876131000000001</v>
      </c>
      <c r="G25">
        <v>2435086800</v>
      </c>
      <c r="H25" s="2">
        <f t="shared" si="1"/>
        <v>5.3335778929115195E-2</v>
      </c>
    </row>
    <row r="26" spans="1:8" x14ac:dyDescent="0.3">
      <c r="A26" s="1">
        <v>42736</v>
      </c>
      <c r="B26">
        <v>28.950001</v>
      </c>
      <c r="C26">
        <v>30.610001</v>
      </c>
      <c r="D26">
        <v>28.690000999999999</v>
      </c>
      <c r="E26">
        <v>30.337499999999999</v>
      </c>
      <c r="F26">
        <v>28.159378</v>
      </c>
      <c r="G26">
        <v>2252488000</v>
      </c>
      <c r="H26" s="2">
        <f t="shared" si="1"/>
        <v>4.7746716221914502E-2</v>
      </c>
    </row>
    <row r="27" spans="1:8" x14ac:dyDescent="0.3">
      <c r="A27" s="1">
        <v>42767</v>
      </c>
      <c r="B27">
        <v>31.7575</v>
      </c>
      <c r="C27">
        <v>34.369999</v>
      </c>
      <c r="D27">
        <v>31.752500999999999</v>
      </c>
      <c r="E27">
        <v>34.247501</v>
      </c>
      <c r="F27">
        <v>31.788648999999999</v>
      </c>
      <c r="G27">
        <v>2299874400</v>
      </c>
      <c r="H27" s="2">
        <f t="shared" si="1"/>
        <v>0.12888320899701688</v>
      </c>
    </row>
    <row r="28" spans="1:8" x14ac:dyDescent="0.3">
      <c r="A28" s="1">
        <v>42795</v>
      </c>
      <c r="B28">
        <v>34.472499999999997</v>
      </c>
      <c r="C28">
        <v>36.125</v>
      </c>
      <c r="D28">
        <v>34.262501</v>
      </c>
      <c r="E28">
        <v>35.915000999999997</v>
      </c>
      <c r="F28">
        <v>33.480961000000001</v>
      </c>
      <c r="G28">
        <v>2246513600</v>
      </c>
      <c r="H28" s="2">
        <f t="shared" si="1"/>
        <v>5.3236361192952907E-2</v>
      </c>
    </row>
    <row r="29" spans="1:8" x14ac:dyDescent="0.3">
      <c r="A29" s="1">
        <v>42826</v>
      </c>
      <c r="B29">
        <v>35.927501999999997</v>
      </c>
      <c r="C29">
        <v>36.365001999999997</v>
      </c>
      <c r="D29">
        <v>35.014999000000003</v>
      </c>
      <c r="E29">
        <v>35.912497999999999</v>
      </c>
      <c r="F29">
        <v>33.478637999999997</v>
      </c>
      <c r="G29">
        <v>1493216400</v>
      </c>
      <c r="H29" s="2">
        <f t="shared" si="1"/>
        <v>-6.9382715747139746E-5</v>
      </c>
    </row>
    <row r="30" spans="1:8" x14ac:dyDescent="0.3">
      <c r="A30" s="1">
        <v>42856</v>
      </c>
      <c r="B30">
        <v>36.275002000000001</v>
      </c>
      <c r="C30">
        <v>39.162497999999999</v>
      </c>
      <c r="D30">
        <v>36.067501</v>
      </c>
      <c r="E30">
        <v>38.189999</v>
      </c>
      <c r="F30">
        <v>35.601779999999998</v>
      </c>
      <c r="G30">
        <v>2615927200</v>
      </c>
      <c r="H30" s="2">
        <f t="shared" si="1"/>
        <v>6.3417812875183319E-2</v>
      </c>
    </row>
    <row r="31" spans="1:8" x14ac:dyDescent="0.3">
      <c r="A31" s="1">
        <v>42887</v>
      </c>
      <c r="B31">
        <v>38.292499999999997</v>
      </c>
      <c r="C31">
        <v>38.994999</v>
      </c>
      <c r="D31">
        <v>35.549999</v>
      </c>
      <c r="E31">
        <v>36.005001</v>
      </c>
      <c r="F31">
        <v>33.703400000000002</v>
      </c>
      <c r="G31">
        <v>2736712400</v>
      </c>
      <c r="H31" s="2">
        <f t="shared" si="1"/>
        <v>-5.3322614768137884E-2</v>
      </c>
    </row>
    <row r="32" spans="1:8" x14ac:dyDescent="0.3">
      <c r="A32" s="1">
        <v>42917</v>
      </c>
      <c r="B32">
        <v>36.220001000000003</v>
      </c>
      <c r="C32">
        <v>38.497501</v>
      </c>
      <c r="D32">
        <v>35.602500999999997</v>
      </c>
      <c r="E32">
        <v>37.182499</v>
      </c>
      <c r="F32">
        <v>34.805633999999998</v>
      </c>
      <c r="G32">
        <v>1688047600</v>
      </c>
      <c r="H32" s="2">
        <f t="shared" si="1"/>
        <v>3.2703940848697627E-2</v>
      </c>
    </row>
    <row r="33" spans="1:8" x14ac:dyDescent="0.3">
      <c r="A33" s="1">
        <v>42948</v>
      </c>
      <c r="B33">
        <v>37.275002000000001</v>
      </c>
      <c r="C33">
        <v>41.130001</v>
      </c>
      <c r="D33">
        <v>37.102500999999997</v>
      </c>
      <c r="E33">
        <v>41</v>
      </c>
      <c r="F33">
        <v>38.379092999999997</v>
      </c>
      <c r="G33">
        <v>2644276000</v>
      </c>
      <c r="H33" s="2">
        <f t="shared" si="1"/>
        <v>0.10266898169417055</v>
      </c>
    </row>
    <row r="34" spans="1:8" x14ac:dyDescent="0.3">
      <c r="A34" s="1">
        <v>42979</v>
      </c>
      <c r="B34">
        <v>41.200001</v>
      </c>
      <c r="C34">
        <v>41.235000999999997</v>
      </c>
      <c r="D34">
        <v>37.290000999999997</v>
      </c>
      <c r="E34">
        <v>38.529998999999997</v>
      </c>
      <c r="F34">
        <v>36.208632999999999</v>
      </c>
      <c r="G34">
        <v>2721496400</v>
      </c>
      <c r="H34" s="2">
        <f t="shared" si="1"/>
        <v>-5.6553186392393345E-2</v>
      </c>
    </row>
    <row r="35" spans="1:8" x14ac:dyDescent="0.3">
      <c r="A35" s="1">
        <v>43009</v>
      </c>
      <c r="B35">
        <v>38.564999</v>
      </c>
      <c r="C35">
        <v>42.412497999999999</v>
      </c>
      <c r="D35">
        <v>38.115001999999997</v>
      </c>
      <c r="E35">
        <v>42.259998000000003</v>
      </c>
      <c r="F35">
        <v>39.713898</v>
      </c>
      <c r="G35">
        <v>2017165200</v>
      </c>
      <c r="H35" s="2">
        <f t="shared" si="1"/>
        <v>9.6807438159844411E-2</v>
      </c>
    </row>
    <row r="36" spans="1:8" x14ac:dyDescent="0.3">
      <c r="A36" s="1">
        <v>43040</v>
      </c>
      <c r="B36">
        <v>42.467498999999997</v>
      </c>
      <c r="C36">
        <v>44.060001</v>
      </c>
      <c r="D36">
        <v>41.32</v>
      </c>
      <c r="E36">
        <v>42.962502000000001</v>
      </c>
      <c r="F36">
        <v>40.374068999999999</v>
      </c>
      <c r="G36">
        <v>2402653600</v>
      </c>
      <c r="H36" s="2">
        <f t="shared" si="1"/>
        <v>1.6623173076588914E-2</v>
      </c>
    </row>
    <row r="37" spans="1:8" x14ac:dyDescent="0.3">
      <c r="A37" s="1">
        <v>43070</v>
      </c>
      <c r="B37">
        <v>42.487499</v>
      </c>
      <c r="C37">
        <v>44.299999</v>
      </c>
      <c r="D37">
        <v>41.615001999999997</v>
      </c>
      <c r="E37">
        <v>42.307499</v>
      </c>
      <c r="F37">
        <v>39.901465999999999</v>
      </c>
      <c r="G37">
        <v>2124735200</v>
      </c>
      <c r="H37" s="2">
        <f t="shared" si="1"/>
        <v>-1.1705607378835149E-2</v>
      </c>
    </row>
    <row r="38" spans="1:8" x14ac:dyDescent="0.3">
      <c r="A38" s="1">
        <v>43101</v>
      </c>
      <c r="B38">
        <v>42.540000999999997</v>
      </c>
      <c r="C38">
        <v>45.025002000000001</v>
      </c>
      <c r="D38">
        <v>41.174999</v>
      </c>
      <c r="E38">
        <v>41.857498</v>
      </c>
      <c r="F38">
        <v>39.477066000000001</v>
      </c>
      <c r="G38">
        <v>2638717600</v>
      </c>
      <c r="H38" s="2">
        <f t="shared" si="1"/>
        <v>-1.0636200684957254E-2</v>
      </c>
    </row>
    <row r="39" spans="1:8" x14ac:dyDescent="0.3">
      <c r="A39" s="1">
        <v>43132</v>
      </c>
      <c r="B39">
        <v>41.792499999999997</v>
      </c>
      <c r="C39">
        <v>45.154998999999997</v>
      </c>
      <c r="D39">
        <v>37.560001</v>
      </c>
      <c r="E39">
        <v>44.529998999999997</v>
      </c>
      <c r="F39">
        <v>41.997570000000003</v>
      </c>
      <c r="G39">
        <v>3711577200</v>
      </c>
      <c r="H39" s="2">
        <f t="shared" si="1"/>
        <v>6.384729807427944E-2</v>
      </c>
    </row>
    <row r="40" spans="1:8" x14ac:dyDescent="0.3">
      <c r="A40" s="1">
        <v>43160</v>
      </c>
      <c r="B40">
        <v>44.634998000000003</v>
      </c>
      <c r="C40">
        <v>45.875</v>
      </c>
      <c r="D40">
        <v>41.235000999999997</v>
      </c>
      <c r="E40">
        <v>41.945</v>
      </c>
      <c r="F40">
        <v>39.720874999999999</v>
      </c>
      <c r="G40">
        <v>2854910800</v>
      </c>
      <c r="H40" s="2">
        <f t="shared" si="1"/>
        <v>-5.4210160254510045E-2</v>
      </c>
    </row>
    <row r="41" spans="1:8" x14ac:dyDescent="0.3">
      <c r="A41" s="1">
        <v>43191</v>
      </c>
      <c r="B41">
        <v>41.66</v>
      </c>
      <c r="C41">
        <v>44.735000999999997</v>
      </c>
      <c r="D41">
        <v>40.157501000000003</v>
      </c>
      <c r="E41">
        <v>41.314999</v>
      </c>
      <c r="F41">
        <v>39.124274999999997</v>
      </c>
      <c r="G41">
        <v>2664617200</v>
      </c>
      <c r="H41" s="2">
        <f t="shared" si="1"/>
        <v>-1.5019810112440933E-2</v>
      </c>
    </row>
    <row r="42" spans="1:8" x14ac:dyDescent="0.3">
      <c r="A42" s="1">
        <v>43221</v>
      </c>
      <c r="B42">
        <v>41.602500999999997</v>
      </c>
      <c r="C42">
        <v>47.592498999999997</v>
      </c>
      <c r="D42">
        <v>41.317501</v>
      </c>
      <c r="E42">
        <v>46.717498999999997</v>
      </c>
      <c r="F42">
        <v>44.240310999999998</v>
      </c>
      <c r="G42">
        <v>2483905200</v>
      </c>
      <c r="H42" s="2">
        <f t="shared" si="1"/>
        <v>0.13076372661218646</v>
      </c>
    </row>
    <row r="43" spans="1:8" x14ac:dyDescent="0.3">
      <c r="A43" s="1">
        <v>43252</v>
      </c>
      <c r="B43">
        <v>46.997501</v>
      </c>
      <c r="C43">
        <v>48.549999</v>
      </c>
      <c r="D43">
        <v>45.182499</v>
      </c>
      <c r="E43">
        <v>46.277500000000003</v>
      </c>
      <c r="F43">
        <v>43.992634000000002</v>
      </c>
      <c r="G43">
        <v>2110498000</v>
      </c>
      <c r="H43" s="2">
        <f t="shared" si="1"/>
        <v>-5.598446177288309E-3</v>
      </c>
    </row>
    <row r="44" spans="1:8" x14ac:dyDescent="0.3">
      <c r="A44" s="1">
        <v>43282</v>
      </c>
      <c r="B44">
        <v>45.955002</v>
      </c>
      <c r="C44">
        <v>48.990001999999997</v>
      </c>
      <c r="D44">
        <v>45.854999999999997</v>
      </c>
      <c r="E44">
        <v>47.572498000000003</v>
      </c>
      <c r="F44">
        <v>45.223686000000001</v>
      </c>
      <c r="G44">
        <v>1574765600</v>
      </c>
      <c r="H44" s="2">
        <f t="shared" si="1"/>
        <v>2.7983139177344966E-2</v>
      </c>
    </row>
    <row r="45" spans="1:8" x14ac:dyDescent="0.3">
      <c r="A45" s="1">
        <v>43313</v>
      </c>
      <c r="B45">
        <v>49.782501000000003</v>
      </c>
      <c r="C45">
        <v>57.217498999999997</v>
      </c>
      <c r="D45">
        <v>49.327499000000003</v>
      </c>
      <c r="E45">
        <v>56.907501000000003</v>
      </c>
      <c r="F45">
        <v>54.097785999999999</v>
      </c>
      <c r="G45">
        <v>2801275600</v>
      </c>
      <c r="H45" s="2">
        <f t="shared" si="1"/>
        <v>0.19622681795552885</v>
      </c>
    </row>
    <row r="46" spans="1:8" x14ac:dyDescent="0.3">
      <c r="A46" s="1">
        <v>43344</v>
      </c>
      <c r="B46">
        <v>57.102500999999997</v>
      </c>
      <c r="C46">
        <v>57.417499999999997</v>
      </c>
      <c r="D46">
        <v>53.825001</v>
      </c>
      <c r="E46">
        <v>56.435001</v>
      </c>
      <c r="F46">
        <v>53.836773000000001</v>
      </c>
      <c r="G46">
        <v>2715888000</v>
      </c>
      <c r="H46" s="2">
        <f t="shared" si="1"/>
        <v>-4.8248370090413382E-3</v>
      </c>
    </row>
    <row r="47" spans="1:8" x14ac:dyDescent="0.3">
      <c r="A47" s="1">
        <v>43374</v>
      </c>
      <c r="B47">
        <v>56.987499</v>
      </c>
      <c r="C47">
        <v>58.3675</v>
      </c>
      <c r="D47">
        <v>51.522499000000003</v>
      </c>
      <c r="E47">
        <v>54.715000000000003</v>
      </c>
      <c r="F47">
        <v>52.195965000000001</v>
      </c>
      <c r="G47">
        <v>3158994000</v>
      </c>
      <c r="H47" s="2">
        <f t="shared" si="1"/>
        <v>-3.0477458223582603E-2</v>
      </c>
    </row>
    <row r="48" spans="1:8" x14ac:dyDescent="0.3">
      <c r="A48" s="1">
        <v>43405</v>
      </c>
      <c r="B48">
        <v>54.762501</v>
      </c>
      <c r="C48">
        <v>55.59</v>
      </c>
      <c r="D48">
        <v>42.564999</v>
      </c>
      <c r="E48">
        <v>44.645000000000003</v>
      </c>
      <c r="F48">
        <v>42.589576999999998</v>
      </c>
      <c r="G48">
        <v>3845305600</v>
      </c>
      <c r="H48" s="2">
        <f t="shared" si="1"/>
        <v>-0.18404464789567551</v>
      </c>
    </row>
    <row r="49" spans="1:8" x14ac:dyDescent="0.3">
      <c r="A49" s="1">
        <v>43435</v>
      </c>
      <c r="B49">
        <v>46.115001999999997</v>
      </c>
      <c r="C49">
        <v>46.235000999999997</v>
      </c>
      <c r="D49">
        <v>36.647499000000003</v>
      </c>
      <c r="E49">
        <v>39.435001</v>
      </c>
      <c r="F49">
        <v>37.750701999999997</v>
      </c>
      <c r="G49">
        <v>3595690000</v>
      </c>
      <c r="H49" s="2">
        <f t="shared" si="1"/>
        <v>-0.1136164137061047</v>
      </c>
    </row>
    <row r="50" spans="1:8" x14ac:dyDescent="0.3">
      <c r="A50" s="1">
        <v>43466</v>
      </c>
      <c r="B50">
        <v>38.722499999999997</v>
      </c>
      <c r="C50">
        <v>42.25</v>
      </c>
      <c r="D50">
        <v>35.5</v>
      </c>
      <c r="E50">
        <v>41.610000999999997</v>
      </c>
      <c r="F50">
        <v>39.832808999999997</v>
      </c>
      <c r="G50">
        <v>3312349600</v>
      </c>
      <c r="H50" s="2">
        <f t="shared" si="1"/>
        <v>5.5154126670280218E-2</v>
      </c>
    </row>
    <row r="51" spans="1:8" x14ac:dyDescent="0.3">
      <c r="A51" s="1">
        <v>43497</v>
      </c>
      <c r="B51">
        <v>41.740001999999997</v>
      </c>
      <c r="C51">
        <v>43.967498999999997</v>
      </c>
      <c r="D51">
        <v>41.482498</v>
      </c>
      <c r="E51">
        <v>43.287497999999999</v>
      </c>
      <c r="F51">
        <v>41.438651999999998</v>
      </c>
      <c r="G51">
        <v>1890162400</v>
      </c>
      <c r="H51" s="2">
        <f t="shared" si="1"/>
        <v>4.0314580877286364E-2</v>
      </c>
    </row>
    <row r="52" spans="1:8" x14ac:dyDescent="0.3">
      <c r="A52" s="1">
        <v>43525</v>
      </c>
      <c r="B52">
        <v>43.57</v>
      </c>
      <c r="C52">
        <v>49.422500999999997</v>
      </c>
      <c r="D52">
        <v>42.375</v>
      </c>
      <c r="E52">
        <v>47.487499</v>
      </c>
      <c r="F52">
        <v>45.654240000000001</v>
      </c>
      <c r="G52">
        <v>2603925600</v>
      </c>
      <c r="H52" s="2">
        <f t="shared" si="1"/>
        <v>0.10173081884999551</v>
      </c>
    </row>
    <row r="53" spans="1:8" x14ac:dyDescent="0.3">
      <c r="A53" s="1">
        <v>43556</v>
      </c>
      <c r="B53">
        <v>47.91</v>
      </c>
      <c r="C53">
        <v>52.119999</v>
      </c>
      <c r="D53">
        <v>47.095001000000003</v>
      </c>
      <c r="E53">
        <v>50.167499999999997</v>
      </c>
      <c r="F53">
        <v>48.23077</v>
      </c>
      <c r="G53">
        <v>2024470800</v>
      </c>
      <c r="H53" s="2">
        <f t="shared" si="1"/>
        <v>5.6435722070940136E-2</v>
      </c>
    </row>
    <row r="54" spans="1:8" x14ac:dyDescent="0.3">
      <c r="A54" s="1">
        <v>43586</v>
      </c>
      <c r="B54">
        <v>52.470001000000003</v>
      </c>
      <c r="C54">
        <v>53.827499000000003</v>
      </c>
      <c r="D54">
        <v>43.747501</v>
      </c>
      <c r="E54">
        <v>43.767502</v>
      </c>
      <c r="F54">
        <v>42.077854000000002</v>
      </c>
      <c r="G54">
        <v>2957826400</v>
      </c>
      <c r="H54" s="2">
        <f t="shared" si="1"/>
        <v>-0.12757241901798369</v>
      </c>
    </row>
    <row r="55" spans="1:8" x14ac:dyDescent="0.3">
      <c r="A55" s="1">
        <v>43617</v>
      </c>
      <c r="B55">
        <v>43.900002000000001</v>
      </c>
      <c r="C55">
        <v>50.392502</v>
      </c>
      <c r="D55">
        <v>42.567501</v>
      </c>
      <c r="E55">
        <v>49.48</v>
      </c>
      <c r="F55">
        <v>47.753010000000003</v>
      </c>
      <c r="G55">
        <v>2060874800</v>
      </c>
      <c r="H55" s="2">
        <f t="shared" si="1"/>
        <v>0.13487275277869448</v>
      </c>
    </row>
    <row r="56" spans="1:8" x14ac:dyDescent="0.3">
      <c r="A56" s="1">
        <v>43647</v>
      </c>
      <c r="B56">
        <v>50.792499999999997</v>
      </c>
      <c r="C56">
        <v>55.342498999999997</v>
      </c>
      <c r="D56">
        <v>49.602500999999997</v>
      </c>
      <c r="E56">
        <v>53.259998000000003</v>
      </c>
      <c r="F56">
        <v>51.401080999999998</v>
      </c>
      <c r="G56">
        <v>1895406800</v>
      </c>
      <c r="H56" s="2">
        <f t="shared" si="1"/>
        <v>7.6394577012003945E-2</v>
      </c>
    </row>
    <row r="57" spans="1:8" x14ac:dyDescent="0.3">
      <c r="A57" s="1">
        <v>43678</v>
      </c>
      <c r="B57">
        <v>53.474997999999999</v>
      </c>
      <c r="C57">
        <v>54.5075</v>
      </c>
      <c r="D57">
        <v>48.145000000000003</v>
      </c>
      <c r="E57">
        <v>52.185001</v>
      </c>
      <c r="F57">
        <v>50.363598000000003</v>
      </c>
      <c r="G57">
        <v>2724326400</v>
      </c>
      <c r="H57" s="2">
        <f t="shared" si="1"/>
        <v>-2.018406966966307E-2</v>
      </c>
    </row>
    <row r="58" spans="1:8" x14ac:dyDescent="0.3">
      <c r="A58" s="1">
        <v>43709</v>
      </c>
      <c r="B58">
        <v>51.607498</v>
      </c>
      <c r="C58">
        <v>56.604999999999997</v>
      </c>
      <c r="D58">
        <v>51.055</v>
      </c>
      <c r="E58">
        <v>55.9925</v>
      </c>
      <c r="F58">
        <v>54.243518999999999</v>
      </c>
      <c r="G58">
        <v>2170268400</v>
      </c>
      <c r="H58" s="2">
        <f t="shared" si="1"/>
        <v>7.7038201281806662E-2</v>
      </c>
    </row>
    <row r="59" spans="1:8" x14ac:dyDescent="0.3">
      <c r="A59" s="1">
        <v>43739</v>
      </c>
      <c r="B59">
        <v>56.267502</v>
      </c>
      <c r="C59">
        <v>62.4375</v>
      </c>
      <c r="D59">
        <v>53.782501000000003</v>
      </c>
      <c r="E59">
        <v>62.189999</v>
      </c>
      <c r="F59">
        <v>60.247436999999998</v>
      </c>
      <c r="G59">
        <v>2433210800</v>
      </c>
      <c r="H59" s="2">
        <f t="shared" si="1"/>
        <v>0.11068452251410899</v>
      </c>
    </row>
    <row r="60" spans="1:8" x14ac:dyDescent="0.3">
      <c r="A60" s="1">
        <v>43770</v>
      </c>
      <c r="B60">
        <v>62.384998000000003</v>
      </c>
      <c r="C60">
        <v>67</v>
      </c>
      <c r="D60">
        <v>62.290000999999997</v>
      </c>
      <c r="E60">
        <v>66.8125</v>
      </c>
      <c r="F60">
        <v>64.725548000000003</v>
      </c>
      <c r="G60">
        <v>1793326000</v>
      </c>
      <c r="H60" s="2">
        <f t="shared" si="1"/>
        <v>7.4328655673767591E-2</v>
      </c>
    </row>
    <row r="61" spans="1:8" x14ac:dyDescent="0.3">
      <c r="A61" s="1">
        <v>43800</v>
      </c>
      <c r="B61">
        <v>66.817497000000003</v>
      </c>
      <c r="C61">
        <v>73.492500000000007</v>
      </c>
      <c r="D61">
        <v>64.072502</v>
      </c>
      <c r="E61">
        <v>73.412497999999999</v>
      </c>
      <c r="F61">
        <v>71.332901000000007</v>
      </c>
      <c r="G61">
        <v>2388794800</v>
      </c>
      <c r="H61" s="2">
        <f t="shared" si="1"/>
        <v>0.10208261195409274</v>
      </c>
    </row>
    <row r="62" spans="1:8" x14ac:dyDescent="0.3">
      <c r="A62" s="1">
        <v>43831</v>
      </c>
      <c r="B62">
        <v>74.059997999999993</v>
      </c>
      <c r="C62">
        <v>81.962502000000001</v>
      </c>
      <c r="D62">
        <v>73.1875</v>
      </c>
      <c r="E62">
        <v>77.377502000000007</v>
      </c>
      <c r="F62">
        <v>75.185576999999995</v>
      </c>
      <c r="G62">
        <v>2934370400</v>
      </c>
      <c r="H62" s="2">
        <f t="shared" si="1"/>
        <v>5.4009803975307101E-2</v>
      </c>
    </row>
    <row r="63" spans="1:8" x14ac:dyDescent="0.3">
      <c r="A63" s="1">
        <v>43862</v>
      </c>
      <c r="B63">
        <v>76.074996999999996</v>
      </c>
      <c r="C63">
        <v>81.805000000000007</v>
      </c>
      <c r="D63">
        <v>64.092499000000004</v>
      </c>
      <c r="E63">
        <v>68.339995999999999</v>
      </c>
      <c r="F63">
        <v>66.404114000000007</v>
      </c>
      <c r="G63">
        <v>3019279200</v>
      </c>
      <c r="H63" s="2">
        <f t="shared" si="1"/>
        <v>-0.11679717507521407</v>
      </c>
    </row>
    <row r="64" spans="1:8" x14ac:dyDescent="0.3">
      <c r="A64" s="1">
        <v>43891</v>
      </c>
      <c r="B64">
        <v>70.569999999999993</v>
      </c>
      <c r="C64">
        <v>76</v>
      </c>
      <c r="D64">
        <v>53.152500000000003</v>
      </c>
      <c r="E64">
        <v>63.572498000000003</v>
      </c>
      <c r="F64">
        <v>61.918258999999999</v>
      </c>
      <c r="G64">
        <v>6280072400</v>
      </c>
      <c r="H64" s="2">
        <f t="shared" si="1"/>
        <v>-6.7553871737525292E-2</v>
      </c>
    </row>
    <row r="65" spans="1:8" x14ac:dyDescent="0.3">
      <c r="A65" s="1">
        <v>43922</v>
      </c>
      <c r="B65">
        <v>61.625</v>
      </c>
      <c r="C65">
        <v>73.632499999999993</v>
      </c>
      <c r="D65">
        <v>59.224997999999999</v>
      </c>
      <c r="E65">
        <v>73.449996999999996</v>
      </c>
      <c r="F65">
        <v>71.538726999999994</v>
      </c>
      <c r="G65">
        <v>3265299200</v>
      </c>
      <c r="H65" s="2">
        <f t="shared" si="1"/>
        <v>0.15537368387570452</v>
      </c>
    </row>
    <row r="66" spans="1:8" x14ac:dyDescent="0.3">
      <c r="A66" s="1">
        <v>43952</v>
      </c>
      <c r="B66">
        <v>71.5625</v>
      </c>
      <c r="C66">
        <v>81.059997999999993</v>
      </c>
      <c r="D66">
        <v>71.462502000000001</v>
      </c>
      <c r="E66">
        <v>79.485000999999997</v>
      </c>
      <c r="F66">
        <v>77.416695000000004</v>
      </c>
      <c r="G66">
        <v>2805936000</v>
      </c>
      <c r="H66" s="2">
        <f t="shared" si="1"/>
        <v>8.216483919262374E-2</v>
      </c>
    </row>
    <row r="67" spans="1:8" x14ac:dyDescent="0.3">
      <c r="A67" s="1">
        <v>43983</v>
      </c>
      <c r="B67">
        <v>79.4375</v>
      </c>
      <c r="C67">
        <v>93.095000999999996</v>
      </c>
      <c r="D67">
        <v>79.302498</v>
      </c>
      <c r="E67">
        <v>91.199996999999996</v>
      </c>
      <c r="F67">
        <v>89.067299000000006</v>
      </c>
      <c r="G67">
        <v>3243375600</v>
      </c>
      <c r="H67" s="2">
        <f t="shared" si="1"/>
        <v>0.15049213867887282</v>
      </c>
    </row>
    <row r="68" spans="1:8" x14ac:dyDescent="0.3">
      <c r="A68" s="1">
        <v>44013</v>
      </c>
      <c r="B68">
        <v>91.279999000000004</v>
      </c>
      <c r="C68">
        <v>106.415001</v>
      </c>
      <c r="D68">
        <v>89.144997000000004</v>
      </c>
      <c r="E68">
        <v>106.260002</v>
      </c>
      <c r="F68">
        <v>103.77512400000001</v>
      </c>
      <c r="G68">
        <v>3020283200</v>
      </c>
      <c r="H68" s="2">
        <f t="shared" si="1"/>
        <v>0.16513159335841091</v>
      </c>
    </row>
    <row r="69" spans="1:8" x14ac:dyDescent="0.3">
      <c r="A69" s="1">
        <v>44044</v>
      </c>
      <c r="B69">
        <v>108.199997</v>
      </c>
      <c r="C69">
        <v>131</v>
      </c>
      <c r="D69">
        <v>107.89250199999999</v>
      </c>
      <c r="E69">
        <v>129.03999300000001</v>
      </c>
      <c r="F69">
        <v>126.02243</v>
      </c>
      <c r="G69">
        <v>4070061100</v>
      </c>
      <c r="H69" s="2">
        <f t="shared" ref="H69:H115" si="2">(F69-F68)/F68</f>
        <v>0.21437995101793367</v>
      </c>
    </row>
    <row r="70" spans="1:8" x14ac:dyDescent="0.3">
      <c r="A70" s="1">
        <v>44075</v>
      </c>
      <c r="B70">
        <v>132.759995</v>
      </c>
      <c r="C70">
        <v>137.979996</v>
      </c>
      <c r="D70">
        <v>103.099998</v>
      </c>
      <c r="E70">
        <v>115.80999799999999</v>
      </c>
      <c r="F70">
        <v>113.305717</v>
      </c>
      <c r="G70">
        <v>3885245100</v>
      </c>
      <c r="H70" s="2">
        <f t="shared" si="2"/>
        <v>-0.10090833036626891</v>
      </c>
    </row>
    <row r="71" spans="1:8" x14ac:dyDescent="0.3">
      <c r="A71" s="1">
        <v>44105</v>
      </c>
      <c r="B71">
        <v>117.639999</v>
      </c>
      <c r="C71">
        <v>125.389999</v>
      </c>
      <c r="D71">
        <v>107.720001</v>
      </c>
      <c r="E71">
        <v>108.860001</v>
      </c>
      <c r="F71">
        <v>106.50602000000001</v>
      </c>
      <c r="G71">
        <v>2894666500</v>
      </c>
      <c r="H71" s="2">
        <f t="shared" si="2"/>
        <v>-6.0011949794201422E-2</v>
      </c>
    </row>
    <row r="72" spans="1:8" x14ac:dyDescent="0.3">
      <c r="A72" s="1">
        <v>44136</v>
      </c>
      <c r="B72">
        <v>109.110001</v>
      </c>
      <c r="C72">
        <v>121.989998</v>
      </c>
      <c r="D72">
        <v>107.32</v>
      </c>
      <c r="E72">
        <v>119.050003</v>
      </c>
      <c r="F72">
        <v>116.475647</v>
      </c>
      <c r="G72">
        <v>2123077300</v>
      </c>
      <c r="H72" s="2">
        <f t="shared" si="2"/>
        <v>9.3606229957705567E-2</v>
      </c>
    </row>
    <row r="73" spans="1:8" x14ac:dyDescent="0.3">
      <c r="A73" s="1">
        <v>44166</v>
      </c>
      <c r="B73">
        <v>121.010002</v>
      </c>
      <c r="C73">
        <v>138.78999300000001</v>
      </c>
      <c r="D73">
        <v>120.010002</v>
      </c>
      <c r="E73">
        <v>132.69000199999999</v>
      </c>
      <c r="F73">
        <v>130.04470800000001</v>
      </c>
      <c r="G73">
        <v>2322189600</v>
      </c>
      <c r="H73" s="2">
        <f t="shared" si="2"/>
        <v>0.11649697897793193</v>
      </c>
    </row>
    <row r="74" spans="1:8" x14ac:dyDescent="0.3">
      <c r="A74" s="1">
        <v>44197</v>
      </c>
      <c r="B74">
        <v>133.520004</v>
      </c>
      <c r="C74">
        <v>145.08999600000001</v>
      </c>
      <c r="D74">
        <v>126.379997</v>
      </c>
      <c r="E74">
        <v>131.96000699999999</v>
      </c>
      <c r="F74">
        <v>129.329239</v>
      </c>
      <c r="G74">
        <v>2240262000</v>
      </c>
      <c r="H74" s="2">
        <f t="shared" si="2"/>
        <v>-5.5017156099886272E-3</v>
      </c>
    </row>
    <row r="75" spans="1:8" x14ac:dyDescent="0.3">
      <c r="A75" s="1">
        <v>44228</v>
      </c>
      <c r="B75">
        <v>133.75</v>
      </c>
      <c r="C75">
        <v>137.88000500000001</v>
      </c>
      <c r="D75">
        <v>118.389999</v>
      </c>
      <c r="E75">
        <v>121.260002</v>
      </c>
      <c r="F75">
        <v>118.842545</v>
      </c>
      <c r="G75">
        <v>1833855600</v>
      </c>
      <c r="H75" s="2">
        <f t="shared" si="2"/>
        <v>-8.1085252500403257E-2</v>
      </c>
    </row>
    <row r="76" spans="1:8" x14ac:dyDescent="0.3">
      <c r="A76" s="1">
        <v>44256</v>
      </c>
      <c r="B76">
        <v>123.75</v>
      </c>
      <c r="C76">
        <v>128.720001</v>
      </c>
      <c r="D76">
        <v>116.209999</v>
      </c>
      <c r="E76">
        <v>122.150002</v>
      </c>
      <c r="F76">
        <v>119.89370700000001</v>
      </c>
      <c r="G76">
        <v>2650418200</v>
      </c>
      <c r="H76" s="2">
        <f t="shared" si="2"/>
        <v>8.8449973870889844E-3</v>
      </c>
    </row>
    <row r="77" spans="1:8" x14ac:dyDescent="0.3">
      <c r="A77" s="1">
        <v>44287</v>
      </c>
      <c r="B77">
        <v>123.660004</v>
      </c>
      <c r="C77">
        <v>137.070007</v>
      </c>
      <c r="D77">
        <v>122.489998</v>
      </c>
      <c r="E77">
        <v>131.46000699999999</v>
      </c>
      <c r="F77">
        <v>129.031723</v>
      </c>
      <c r="G77">
        <v>1889857500</v>
      </c>
      <c r="H77" s="2">
        <f t="shared" si="2"/>
        <v>7.6217645017848959E-2</v>
      </c>
    </row>
    <row r="78" spans="1:8" x14ac:dyDescent="0.3">
      <c r="A78" s="1">
        <v>44317</v>
      </c>
      <c r="B78">
        <v>132.03999300000001</v>
      </c>
      <c r="C78">
        <v>134.070007</v>
      </c>
      <c r="D78">
        <v>122.25</v>
      </c>
      <c r="E78">
        <v>124.610001</v>
      </c>
      <c r="F78">
        <v>122.308266</v>
      </c>
      <c r="G78">
        <v>1711934900</v>
      </c>
      <c r="H78" s="2">
        <f t="shared" si="2"/>
        <v>-5.2107007824734666E-2</v>
      </c>
    </row>
    <row r="79" spans="1:8" x14ac:dyDescent="0.3">
      <c r="A79" s="1">
        <v>44348</v>
      </c>
      <c r="B79">
        <v>125.08000199999999</v>
      </c>
      <c r="C79">
        <v>137.41000399999999</v>
      </c>
      <c r="D79">
        <v>123.129997</v>
      </c>
      <c r="E79">
        <v>136.96000699999999</v>
      </c>
      <c r="F79">
        <v>134.65849299999999</v>
      </c>
      <c r="G79">
        <v>1606590000</v>
      </c>
      <c r="H79" s="2">
        <f t="shared" si="2"/>
        <v>0.10097622510648617</v>
      </c>
    </row>
    <row r="80" spans="1:8" x14ac:dyDescent="0.3">
      <c r="A80" s="1">
        <v>44378</v>
      </c>
      <c r="B80">
        <v>136.60000600000001</v>
      </c>
      <c r="C80">
        <v>150</v>
      </c>
      <c r="D80">
        <v>135.759995</v>
      </c>
      <c r="E80">
        <v>145.86000100000001</v>
      </c>
      <c r="F80">
        <v>143.40889000000001</v>
      </c>
      <c r="G80">
        <v>1919035100</v>
      </c>
      <c r="H80" s="2">
        <f t="shared" si="2"/>
        <v>6.4982139670908254E-2</v>
      </c>
    </row>
    <row r="81" spans="1:8" x14ac:dyDescent="0.3">
      <c r="A81" s="1">
        <v>44409</v>
      </c>
      <c r="B81">
        <v>146.36000100000001</v>
      </c>
      <c r="C81">
        <v>153.490005</v>
      </c>
      <c r="D81">
        <v>144.5</v>
      </c>
      <c r="E81">
        <v>151.83000200000001</v>
      </c>
      <c r="F81">
        <v>149.27860999999999</v>
      </c>
      <c r="G81">
        <v>1461542800</v>
      </c>
      <c r="H81" s="2">
        <f t="shared" si="2"/>
        <v>4.0929959084126319E-2</v>
      </c>
    </row>
    <row r="82" spans="1:8" x14ac:dyDescent="0.3">
      <c r="A82" s="1">
        <v>44440</v>
      </c>
      <c r="B82">
        <v>152.83000200000001</v>
      </c>
      <c r="C82">
        <v>157.259995</v>
      </c>
      <c r="D82">
        <v>141.270004</v>
      </c>
      <c r="E82">
        <v>141.5</v>
      </c>
      <c r="F82">
        <v>139.33062699999999</v>
      </c>
      <c r="G82">
        <v>1797835100</v>
      </c>
      <c r="H82" s="2">
        <f t="shared" si="2"/>
        <v>-6.6640378015309726E-2</v>
      </c>
    </row>
    <row r="83" spans="1:8" x14ac:dyDescent="0.3">
      <c r="A83" s="1">
        <v>44470</v>
      </c>
      <c r="B83">
        <v>141.89999399999999</v>
      </c>
      <c r="C83">
        <v>153.16999799999999</v>
      </c>
      <c r="D83">
        <v>138.270004</v>
      </c>
      <c r="E83">
        <v>149.800003</v>
      </c>
      <c r="F83">
        <v>147.50340299999999</v>
      </c>
      <c r="G83">
        <v>1565079200</v>
      </c>
      <c r="H83" s="2">
        <f t="shared" si="2"/>
        <v>5.8657426410634032E-2</v>
      </c>
    </row>
    <row r="84" spans="1:8" x14ac:dyDescent="0.3">
      <c r="A84" s="1">
        <v>44501</v>
      </c>
      <c r="B84">
        <v>148.990005</v>
      </c>
      <c r="C84">
        <v>165.699997</v>
      </c>
      <c r="D84">
        <v>147.479996</v>
      </c>
      <c r="E84">
        <v>165.300003</v>
      </c>
      <c r="F84">
        <v>162.765747</v>
      </c>
      <c r="G84">
        <v>1691029000</v>
      </c>
      <c r="H84" s="2">
        <f t="shared" si="2"/>
        <v>0.10347113144230316</v>
      </c>
    </row>
    <row r="85" spans="1:8" x14ac:dyDescent="0.3">
      <c r="A85" s="1">
        <v>44531</v>
      </c>
      <c r="B85">
        <v>167.479996</v>
      </c>
      <c r="C85">
        <v>182.13000500000001</v>
      </c>
      <c r="D85">
        <v>157.800003</v>
      </c>
      <c r="E85">
        <v>177.570007</v>
      </c>
      <c r="F85">
        <v>175.102814</v>
      </c>
      <c r="G85">
        <v>2444766700</v>
      </c>
      <c r="H85" s="2">
        <f t="shared" si="2"/>
        <v>7.5796457346765905E-2</v>
      </c>
    </row>
    <row r="86" spans="1:8" x14ac:dyDescent="0.3">
      <c r="A86" s="1">
        <v>44562</v>
      </c>
      <c r="B86">
        <v>177.83000200000001</v>
      </c>
      <c r="C86">
        <v>182.94000199999999</v>
      </c>
      <c r="D86">
        <v>154.699997</v>
      </c>
      <c r="E86">
        <v>174.779999</v>
      </c>
      <c r="F86">
        <v>172.35157799999999</v>
      </c>
      <c r="G86">
        <v>2108446000</v>
      </c>
      <c r="H86" s="2">
        <f t="shared" si="2"/>
        <v>-1.5712117567682298E-2</v>
      </c>
    </row>
    <row r="87" spans="1:8" x14ac:dyDescent="0.3">
      <c r="A87" s="1">
        <v>44593</v>
      </c>
      <c r="B87">
        <v>174.009995</v>
      </c>
      <c r="C87">
        <v>176.64999399999999</v>
      </c>
      <c r="D87">
        <v>152</v>
      </c>
      <c r="E87">
        <v>165.11999499999999</v>
      </c>
      <c r="F87">
        <v>162.82579000000001</v>
      </c>
      <c r="G87">
        <v>1627516300</v>
      </c>
      <c r="H87" s="2">
        <f t="shared" si="2"/>
        <v>-5.5269514271577939E-2</v>
      </c>
    </row>
    <row r="88" spans="1:8" x14ac:dyDescent="0.3">
      <c r="A88" s="1">
        <v>44621</v>
      </c>
      <c r="B88">
        <v>164.699997</v>
      </c>
      <c r="C88">
        <v>179.61000100000001</v>
      </c>
      <c r="D88">
        <v>150.10000600000001</v>
      </c>
      <c r="E88">
        <v>174.61000100000001</v>
      </c>
      <c r="F88">
        <v>172.40332000000001</v>
      </c>
      <c r="G88">
        <v>2180800100</v>
      </c>
      <c r="H88" s="2">
        <f t="shared" si="2"/>
        <v>5.8820718757145257E-2</v>
      </c>
    </row>
    <row r="89" spans="1:8" x14ac:dyDescent="0.3">
      <c r="A89" s="1">
        <v>44652</v>
      </c>
      <c r="B89">
        <v>174.029999</v>
      </c>
      <c r="C89">
        <v>178.490005</v>
      </c>
      <c r="D89">
        <v>155.38000500000001</v>
      </c>
      <c r="E89">
        <v>157.64999399999999</v>
      </c>
      <c r="F89">
        <v>155.65763899999999</v>
      </c>
      <c r="G89">
        <v>1687795600</v>
      </c>
      <c r="H89" s="2">
        <f t="shared" si="2"/>
        <v>-9.713084991634742E-2</v>
      </c>
    </row>
    <row r="90" spans="1:8" x14ac:dyDescent="0.3">
      <c r="A90" s="1">
        <v>44682</v>
      </c>
      <c r="B90">
        <v>156.71000699999999</v>
      </c>
      <c r="C90">
        <v>166.479996</v>
      </c>
      <c r="D90">
        <v>132.61000100000001</v>
      </c>
      <c r="E90">
        <v>148.83999600000001</v>
      </c>
      <c r="F90">
        <v>146.95898399999999</v>
      </c>
      <c r="G90">
        <v>2401040300</v>
      </c>
      <c r="H90" s="2">
        <f t="shared" si="2"/>
        <v>-5.5883251576236505E-2</v>
      </c>
    </row>
    <row r="91" spans="1:8" x14ac:dyDescent="0.3">
      <c r="A91" s="1">
        <v>44713</v>
      </c>
      <c r="B91">
        <v>149.89999399999999</v>
      </c>
      <c r="C91">
        <v>151.740005</v>
      </c>
      <c r="D91">
        <v>129.03999300000001</v>
      </c>
      <c r="E91">
        <v>136.720001</v>
      </c>
      <c r="F91">
        <v>135.19049100000001</v>
      </c>
      <c r="G91">
        <v>1749099800</v>
      </c>
      <c r="H91" s="2">
        <f t="shared" si="2"/>
        <v>-8.0080119497831989E-2</v>
      </c>
    </row>
    <row r="92" spans="1:8" x14ac:dyDescent="0.3">
      <c r="A92" s="1">
        <v>44743</v>
      </c>
      <c r="B92">
        <v>136.03999300000001</v>
      </c>
      <c r="C92">
        <v>163.63000500000001</v>
      </c>
      <c r="D92">
        <v>135.66000399999999</v>
      </c>
      <c r="E92">
        <v>162.509995</v>
      </c>
      <c r="F92">
        <v>160.69198600000001</v>
      </c>
      <c r="G92">
        <v>1447125400</v>
      </c>
      <c r="H92" s="2">
        <f t="shared" si="2"/>
        <v>0.18863379229830599</v>
      </c>
    </row>
    <row r="93" spans="1:8" x14ac:dyDescent="0.3">
      <c r="A93" s="1">
        <v>44774</v>
      </c>
      <c r="B93">
        <v>161.009995</v>
      </c>
      <c r="C93">
        <v>176.14999399999999</v>
      </c>
      <c r="D93">
        <v>157.13999899999999</v>
      </c>
      <c r="E93">
        <v>157.220001</v>
      </c>
      <c r="F93">
        <v>155.46116599999999</v>
      </c>
      <c r="G93">
        <v>1510239600</v>
      </c>
      <c r="H93" s="2">
        <f t="shared" si="2"/>
        <v>-3.2551841135375736E-2</v>
      </c>
    </row>
    <row r="94" spans="1:8" x14ac:dyDescent="0.3">
      <c r="A94" s="1">
        <v>44805</v>
      </c>
      <c r="B94">
        <v>156.63999899999999</v>
      </c>
      <c r="C94">
        <v>164.259995</v>
      </c>
      <c r="D94">
        <v>138</v>
      </c>
      <c r="E94">
        <v>138.199997</v>
      </c>
      <c r="F94">
        <v>136.84375</v>
      </c>
      <c r="G94">
        <v>2084722800</v>
      </c>
      <c r="H94" s="2">
        <f t="shared" si="2"/>
        <v>-0.11975605534825329</v>
      </c>
    </row>
    <row r="95" spans="1:8" x14ac:dyDescent="0.3">
      <c r="A95" s="1">
        <v>44835</v>
      </c>
      <c r="B95">
        <v>138.21000699999999</v>
      </c>
      <c r="C95">
        <v>157.5</v>
      </c>
      <c r="D95">
        <v>134.36999499999999</v>
      </c>
      <c r="E95">
        <v>153.33999600000001</v>
      </c>
      <c r="F95">
        <v>151.83517499999999</v>
      </c>
      <c r="G95">
        <v>1868139700</v>
      </c>
      <c r="H95" s="2">
        <f t="shared" si="2"/>
        <v>0.10955140443023516</v>
      </c>
    </row>
    <row r="96" spans="1:8" x14ac:dyDescent="0.3">
      <c r="A96" s="1">
        <v>44866</v>
      </c>
      <c r="B96">
        <v>155.08000200000001</v>
      </c>
      <c r="C96">
        <v>155.449997</v>
      </c>
      <c r="D96">
        <v>134.38000500000001</v>
      </c>
      <c r="E96">
        <v>148.029999</v>
      </c>
      <c r="F96">
        <v>146.57728599999999</v>
      </c>
      <c r="G96">
        <v>1724847700</v>
      </c>
      <c r="H96" s="2">
        <f t="shared" si="2"/>
        <v>-3.4628925741350819E-2</v>
      </c>
    </row>
    <row r="97" spans="1:8" x14ac:dyDescent="0.3">
      <c r="A97" s="1">
        <v>44896</v>
      </c>
      <c r="B97">
        <v>148.21000699999999</v>
      </c>
      <c r="C97">
        <v>150.91999799999999</v>
      </c>
      <c r="D97">
        <v>125.870003</v>
      </c>
      <c r="E97">
        <v>129.929993</v>
      </c>
      <c r="F97">
        <v>128.868347</v>
      </c>
      <c r="G97">
        <v>1675731200</v>
      </c>
      <c r="H97" s="2">
        <f t="shared" si="2"/>
        <v>-0.12081639306652184</v>
      </c>
    </row>
    <row r="98" spans="1:8" x14ac:dyDescent="0.3">
      <c r="A98" s="1">
        <v>44927</v>
      </c>
      <c r="B98">
        <v>130.279999</v>
      </c>
      <c r="C98">
        <v>147.229996</v>
      </c>
      <c r="D98">
        <v>124.16999800000001</v>
      </c>
      <c r="E98">
        <v>144.28999300000001</v>
      </c>
      <c r="F98">
        <v>143.11097699999999</v>
      </c>
      <c r="G98">
        <v>1443652500</v>
      </c>
      <c r="H98" s="2">
        <f t="shared" si="2"/>
        <v>0.11052077823268729</v>
      </c>
    </row>
    <row r="99" spans="1:8" x14ac:dyDescent="0.3">
      <c r="A99" s="1">
        <v>44958</v>
      </c>
      <c r="B99">
        <v>143.970001</v>
      </c>
      <c r="C99">
        <v>157.38000500000001</v>
      </c>
      <c r="D99">
        <v>141.320007</v>
      </c>
      <c r="E99">
        <v>147.41000399999999</v>
      </c>
      <c r="F99">
        <v>146.205521</v>
      </c>
      <c r="G99">
        <v>1307198900</v>
      </c>
      <c r="H99" s="2">
        <f t="shared" si="2"/>
        <v>2.1623386723158305E-2</v>
      </c>
    </row>
    <row r="100" spans="1:8" x14ac:dyDescent="0.3">
      <c r="A100" s="1">
        <v>44986</v>
      </c>
      <c r="B100">
        <v>146.83000200000001</v>
      </c>
      <c r="C100">
        <v>165</v>
      </c>
      <c r="D100">
        <v>143.89999399999999</v>
      </c>
      <c r="E100">
        <v>164.89999399999999</v>
      </c>
      <c r="F100">
        <v>163.80229199999999</v>
      </c>
      <c r="G100">
        <v>1520266600</v>
      </c>
      <c r="H100" s="2">
        <f t="shared" si="2"/>
        <v>0.12035640569277811</v>
      </c>
    </row>
    <row r="101" spans="1:8" x14ac:dyDescent="0.3">
      <c r="A101" s="1">
        <v>45017</v>
      </c>
      <c r="B101">
        <v>164.270004</v>
      </c>
      <c r="C101">
        <v>169.85000600000001</v>
      </c>
      <c r="D101">
        <v>159.779999</v>
      </c>
      <c r="E101">
        <v>169.679993</v>
      </c>
      <c r="F101">
        <v>168.55049099999999</v>
      </c>
      <c r="G101">
        <v>969709700</v>
      </c>
      <c r="H101" s="2">
        <f t="shared" si="2"/>
        <v>2.8987378271849822E-2</v>
      </c>
    </row>
    <row r="102" spans="1:8" x14ac:dyDescent="0.3">
      <c r="A102" s="1">
        <v>45047</v>
      </c>
      <c r="B102">
        <v>169.279999</v>
      </c>
      <c r="C102">
        <v>179.35000600000001</v>
      </c>
      <c r="D102">
        <v>164.30999800000001</v>
      </c>
      <c r="E102">
        <v>177.25</v>
      </c>
      <c r="F102">
        <v>176.070099</v>
      </c>
      <c r="G102">
        <v>1275155500</v>
      </c>
      <c r="H102" s="2">
        <f t="shared" si="2"/>
        <v>4.4613385314908431E-2</v>
      </c>
    </row>
    <row r="103" spans="1:8" x14ac:dyDescent="0.3">
      <c r="A103" s="1">
        <v>45078</v>
      </c>
      <c r="B103">
        <v>177.699997</v>
      </c>
      <c r="C103">
        <v>194.479996</v>
      </c>
      <c r="D103">
        <v>176.929993</v>
      </c>
      <c r="E103">
        <v>193.970001</v>
      </c>
      <c r="F103">
        <v>192.94532799999999</v>
      </c>
      <c r="G103">
        <v>1297101100</v>
      </c>
      <c r="H103" s="2">
        <f t="shared" si="2"/>
        <v>9.5843809345503864E-2</v>
      </c>
    </row>
    <row r="104" spans="1:8" x14ac:dyDescent="0.3">
      <c r="A104" s="1">
        <v>45108</v>
      </c>
      <c r="B104">
        <v>193.779999</v>
      </c>
      <c r="C104">
        <v>198.229996</v>
      </c>
      <c r="D104">
        <v>186.60000600000001</v>
      </c>
      <c r="E104">
        <v>196.449997</v>
      </c>
      <c r="F104">
        <v>195.41220100000001</v>
      </c>
      <c r="G104">
        <v>996066400</v>
      </c>
      <c r="H104" s="2">
        <f t="shared" si="2"/>
        <v>1.278534715284747E-2</v>
      </c>
    </row>
    <row r="105" spans="1:8" x14ac:dyDescent="0.3">
      <c r="A105" s="1">
        <v>45139</v>
      </c>
      <c r="B105">
        <v>196.240005</v>
      </c>
      <c r="C105">
        <v>196.729996</v>
      </c>
      <c r="D105">
        <v>171.96000699999999</v>
      </c>
      <c r="E105">
        <v>187.86999499999999</v>
      </c>
      <c r="F105">
        <v>186.87754799999999</v>
      </c>
      <c r="G105">
        <v>1322439400</v>
      </c>
      <c r="H105" s="2">
        <f t="shared" si="2"/>
        <v>-4.3675128555560459E-2</v>
      </c>
    </row>
    <row r="106" spans="1:8" x14ac:dyDescent="0.3">
      <c r="A106" s="1">
        <v>45170</v>
      </c>
      <c r="B106">
        <v>189.490005</v>
      </c>
      <c r="C106">
        <v>189.979996</v>
      </c>
      <c r="D106">
        <v>167.61999499999999</v>
      </c>
      <c r="E106">
        <v>171.21000699999999</v>
      </c>
      <c r="F106">
        <v>170.535538</v>
      </c>
      <c r="G106">
        <v>1337586600</v>
      </c>
      <c r="H106" s="2">
        <f t="shared" si="2"/>
        <v>-8.7447690612892606E-2</v>
      </c>
    </row>
    <row r="107" spans="1:8" x14ac:dyDescent="0.3">
      <c r="A107" s="1">
        <v>45200</v>
      </c>
      <c r="B107">
        <v>171.220001</v>
      </c>
      <c r="C107">
        <v>182.33999600000001</v>
      </c>
      <c r="D107">
        <v>165.66999799999999</v>
      </c>
      <c r="E107">
        <v>170.770004</v>
      </c>
      <c r="F107">
        <v>170.09726000000001</v>
      </c>
      <c r="G107">
        <v>1172719600</v>
      </c>
      <c r="H107" s="2">
        <f t="shared" si="2"/>
        <v>-2.5700097770823393E-3</v>
      </c>
    </row>
    <row r="108" spans="1:8" x14ac:dyDescent="0.3">
      <c r="A108" s="1">
        <v>45231</v>
      </c>
      <c r="B108">
        <v>171</v>
      </c>
      <c r="C108">
        <v>192.929993</v>
      </c>
      <c r="D108">
        <v>170.11999499999999</v>
      </c>
      <c r="E108">
        <v>189.949997</v>
      </c>
      <c r="F108">
        <v>189.20169100000001</v>
      </c>
      <c r="G108">
        <v>1099586100</v>
      </c>
      <c r="H108" s="2">
        <f t="shared" si="2"/>
        <v>0.11231474863263526</v>
      </c>
    </row>
    <row r="109" spans="1:8" x14ac:dyDescent="0.3">
      <c r="A109" s="1">
        <v>45261</v>
      </c>
      <c r="B109">
        <v>190.33000200000001</v>
      </c>
      <c r="C109">
        <v>199.61999499999999</v>
      </c>
      <c r="D109">
        <v>187.449997</v>
      </c>
      <c r="E109">
        <v>192.529999</v>
      </c>
      <c r="F109">
        <v>192.02418499999999</v>
      </c>
      <c r="G109">
        <v>1062774800</v>
      </c>
      <c r="H109" s="2">
        <f t="shared" si="2"/>
        <v>1.4917911066661542E-2</v>
      </c>
    </row>
    <row r="110" spans="1:8" x14ac:dyDescent="0.3">
      <c r="A110" s="1">
        <v>45292</v>
      </c>
      <c r="B110">
        <v>187.14999399999999</v>
      </c>
      <c r="C110">
        <v>196.38000500000001</v>
      </c>
      <c r="D110">
        <v>180.16999799999999</v>
      </c>
      <c r="E110">
        <v>184.39999399999999</v>
      </c>
      <c r="F110">
        <v>183.91554300000001</v>
      </c>
      <c r="G110">
        <v>1187219300</v>
      </c>
      <c r="H110" s="2">
        <f t="shared" si="2"/>
        <v>-4.2227191330091965E-2</v>
      </c>
    </row>
    <row r="111" spans="1:8" x14ac:dyDescent="0.3">
      <c r="A111" s="1">
        <v>45323</v>
      </c>
      <c r="B111">
        <v>183.990005</v>
      </c>
      <c r="C111">
        <v>191.050003</v>
      </c>
      <c r="D111">
        <v>179.25</v>
      </c>
      <c r="E111">
        <v>180.75</v>
      </c>
      <c r="F111">
        <v>180.27513099999999</v>
      </c>
      <c r="G111">
        <v>1161627000</v>
      </c>
      <c r="H111" s="2">
        <f t="shared" si="2"/>
        <v>-1.9793933349070047E-2</v>
      </c>
    </row>
    <row r="112" spans="1:8" x14ac:dyDescent="0.3">
      <c r="A112" s="1">
        <v>45352</v>
      </c>
      <c r="B112">
        <v>179.550003</v>
      </c>
      <c r="C112">
        <v>180.529999</v>
      </c>
      <c r="D112">
        <v>168.490005</v>
      </c>
      <c r="E112">
        <v>171.479996</v>
      </c>
      <c r="F112">
        <v>171.247726</v>
      </c>
      <c r="G112">
        <v>1432782800</v>
      </c>
      <c r="H112" s="2">
        <f t="shared" si="2"/>
        <v>-5.0075709000594146E-2</v>
      </c>
    </row>
    <row r="113" spans="1:8" x14ac:dyDescent="0.3">
      <c r="A113" s="1">
        <v>45383</v>
      </c>
      <c r="B113">
        <v>171.19000199999999</v>
      </c>
      <c r="C113">
        <v>178.36000100000001</v>
      </c>
      <c r="D113">
        <v>164.08000200000001</v>
      </c>
      <c r="E113">
        <v>170.33000200000001</v>
      </c>
      <c r="F113">
        <v>170.099289</v>
      </c>
      <c r="G113">
        <v>1245717000</v>
      </c>
      <c r="H113" s="2">
        <f t="shared" si="2"/>
        <v>-6.7062905115598511E-3</v>
      </c>
    </row>
    <row r="114" spans="1:8" x14ac:dyDescent="0.3">
      <c r="A114" s="1">
        <v>45413</v>
      </c>
      <c r="B114">
        <v>169.58000200000001</v>
      </c>
      <c r="C114">
        <v>190.64999399999999</v>
      </c>
      <c r="D114">
        <v>169.11000100000001</v>
      </c>
      <c r="E114">
        <v>189.720001</v>
      </c>
      <c r="F114">
        <v>189.46302800000001</v>
      </c>
      <c r="G114">
        <v>803291600</v>
      </c>
      <c r="H114" s="2">
        <f t="shared" si="2"/>
        <v>0.11383785972203569</v>
      </c>
    </row>
    <row r="115" spans="1:8" x14ac:dyDescent="0.3">
      <c r="A115" s="1">
        <v>45428</v>
      </c>
      <c r="B115">
        <v>190.516006</v>
      </c>
      <c r="C115">
        <v>191.095001</v>
      </c>
      <c r="D115">
        <v>189.72500600000001</v>
      </c>
      <c r="E115">
        <v>190.384995</v>
      </c>
      <c r="F115">
        <v>190.384995</v>
      </c>
      <c r="G115">
        <v>27428172</v>
      </c>
      <c r="H115" s="2">
        <f t="shared" si="2"/>
        <v>4.8662106255368993E-3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19C5-A1A0-48FC-A99E-D296FD0D93E9}">
  <sheetPr codeName="Sheet2"/>
  <dimension ref="A1:H115"/>
  <sheetViews>
    <sheetView workbookViewId="0">
      <selection activeCell="H2" sqref="H2"/>
    </sheetView>
  </sheetViews>
  <sheetFormatPr defaultRowHeight="14.4" x14ac:dyDescent="0.3"/>
  <cols>
    <col min="1" max="1" width="10.33203125" bestFit="1" customWidth="1"/>
    <col min="2" max="7" width="11" bestFit="1" customWidth="1"/>
  </cols>
  <sheetData>
    <row r="1" spans="1:8" x14ac:dyDescent="0.3">
      <c r="A1" t="s">
        <v>8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</row>
    <row r="2" spans="1:8" x14ac:dyDescent="0.3">
      <c r="A2" s="1">
        <v>42005</v>
      </c>
      <c r="B2">
        <v>46.66</v>
      </c>
      <c r="C2">
        <v>47.91</v>
      </c>
      <c r="D2">
        <v>40.349997999999999</v>
      </c>
      <c r="E2">
        <v>40.400002000000001</v>
      </c>
      <c r="F2">
        <v>34.823284000000001</v>
      </c>
      <c r="G2">
        <v>918966800</v>
      </c>
    </row>
    <row r="3" spans="1:8" x14ac:dyDescent="0.3">
      <c r="A3" s="1">
        <v>42036</v>
      </c>
      <c r="B3">
        <v>40.590000000000003</v>
      </c>
      <c r="C3">
        <v>44.299999</v>
      </c>
      <c r="D3">
        <v>40.229999999999997</v>
      </c>
      <c r="E3">
        <v>43.849997999999999</v>
      </c>
      <c r="F3">
        <v>37.797058</v>
      </c>
      <c r="G3">
        <v>656509700</v>
      </c>
      <c r="H3" s="2">
        <f>(F3-F2)/F2</f>
        <v>8.5396138974141514E-2</v>
      </c>
    </row>
    <row r="4" spans="1:8" x14ac:dyDescent="0.3">
      <c r="A4" s="1">
        <v>42064</v>
      </c>
      <c r="B4">
        <v>43.669998</v>
      </c>
      <c r="C4">
        <v>44.189999</v>
      </c>
      <c r="D4">
        <v>40.540000999999997</v>
      </c>
      <c r="E4">
        <v>40.659999999999997</v>
      </c>
      <c r="F4">
        <v>35.296829000000002</v>
      </c>
      <c r="G4">
        <v>824335300</v>
      </c>
      <c r="H4" s="2">
        <f t="shared" ref="H4:H65" si="0">(F4-F3)/F3</f>
        <v>-6.6148772743106016E-2</v>
      </c>
    </row>
    <row r="5" spans="1:8" x14ac:dyDescent="0.3">
      <c r="A5" s="1">
        <v>42095</v>
      </c>
      <c r="B5">
        <v>40.599997999999999</v>
      </c>
      <c r="C5">
        <v>49.540000999999997</v>
      </c>
      <c r="D5">
        <v>40.119999</v>
      </c>
      <c r="E5">
        <v>48.639999000000003</v>
      </c>
      <c r="F5">
        <v>42.224235999999998</v>
      </c>
      <c r="G5">
        <v>874535300</v>
      </c>
      <c r="H5" s="2">
        <f t="shared" si="0"/>
        <v>0.19626145453462673</v>
      </c>
    </row>
    <row r="6" spans="1:8" x14ac:dyDescent="0.3">
      <c r="A6" s="1">
        <v>42125</v>
      </c>
      <c r="B6">
        <v>48.580002</v>
      </c>
      <c r="C6">
        <v>48.91</v>
      </c>
      <c r="D6">
        <v>46.02</v>
      </c>
      <c r="E6">
        <v>46.860000999999997</v>
      </c>
      <c r="F6">
        <v>40.679020000000001</v>
      </c>
      <c r="G6">
        <v>633072800</v>
      </c>
      <c r="H6" s="2">
        <f t="shared" si="0"/>
        <v>-3.6595475641051187E-2</v>
      </c>
    </row>
    <row r="7" spans="1:8" x14ac:dyDescent="0.3">
      <c r="A7" s="1">
        <v>42156</v>
      </c>
      <c r="B7">
        <v>47.060001</v>
      </c>
      <c r="C7">
        <v>47.77</v>
      </c>
      <c r="D7">
        <v>43.939999</v>
      </c>
      <c r="E7">
        <v>44.150002000000001</v>
      </c>
      <c r="F7">
        <v>38.575558000000001</v>
      </c>
      <c r="G7">
        <v>664853400</v>
      </c>
      <c r="H7" s="2">
        <f t="shared" si="0"/>
        <v>-5.1708767812007277E-2</v>
      </c>
    </row>
    <row r="8" spans="1:8" x14ac:dyDescent="0.3">
      <c r="A8" s="1">
        <v>42186</v>
      </c>
      <c r="B8">
        <v>44.459999000000003</v>
      </c>
      <c r="C8">
        <v>47.400002000000001</v>
      </c>
      <c r="D8">
        <v>43.32</v>
      </c>
      <c r="E8">
        <v>46.700001</v>
      </c>
      <c r="F8">
        <v>40.803589000000002</v>
      </c>
      <c r="G8">
        <v>725458100</v>
      </c>
      <c r="H8" s="2">
        <f t="shared" si="0"/>
        <v>5.7757583182594566E-2</v>
      </c>
    </row>
    <row r="9" spans="1:8" x14ac:dyDescent="0.3">
      <c r="A9" s="1">
        <v>42217</v>
      </c>
      <c r="B9">
        <v>46.98</v>
      </c>
      <c r="C9">
        <v>48.41</v>
      </c>
      <c r="D9">
        <v>39.720001000000003</v>
      </c>
      <c r="E9">
        <v>43.52</v>
      </c>
      <c r="F9">
        <v>38.025100999999999</v>
      </c>
      <c r="G9">
        <v>776480300</v>
      </c>
      <c r="H9" s="2">
        <f t="shared" si="0"/>
        <v>-6.809420612485835E-2</v>
      </c>
    </row>
    <row r="10" spans="1:8" x14ac:dyDescent="0.3">
      <c r="A10" s="1">
        <v>42248</v>
      </c>
      <c r="B10">
        <v>42.169998</v>
      </c>
      <c r="C10">
        <v>45</v>
      </c>
      <c r="D10">
        <v>41.66</v>
      </c>
      <c r="E10">
        <v>44.259998000000003</v>
      </c>
      <c r="F10">
        <v>38.926693</v>
      </c>
      <c r="G10">
        <v>673079900</v>
      </c>
      <c r="H10" s="2">
        <f t="shared" si="0"/>
        <v>2.3710443267461693E-2</v>
      </c>
    </row>
    <row r="11" spans="1:8" x14ac:dyDescent="0.3">
      <c r="A11" s="1">
        <v>42278</v>
      </c>
      <c r="B11">
        <v>44.75</v>
      </c>
      <c r="C11">
        <v>54.369999</v>
      </c>
      <c r="D11">
        <v>43.75</v>
      </c>
      <c r="E11">
        <v>52.639999000000003</v>
      </c>
      <c r="F11">
        <v>46.296883000000001</v>
      </c>
      <c r="G11">
        <v>856716800</v>
      </c>
      <c r="H11" s="2">
        <f t="shared" si="0"/>
        <v>0.18933511767876096</v>
      </c>
    </row>
    <row r="12" spans="1:8" x14ac:dyDescent="0.3">
      <c r="A12" s="1">
        <v>42309</v>
      </c>
      <c r="B12">
        <v>52.849997999999999</v>
      </c>
      <c r="C12">
        <v>54.98</v>
      </c>
      <c r="D12">
        <v>52.529998999999997</v>
      </c>
      <c r="E12">
        <v>54.349997999999999</v>
      </c>
      <c r="F12">
        <v>47.800826999999998</v>
      </c>
      <c r="G12">
        <v>662626600</v>
      </c>
      <c r="H12" s="2">
        <f t="shared" si="0"/>
        <v>3.2484778726896084E-2</v>
      </c>
    </row>
    <row r="13" spans="1:8" x14ac:dyDescent="0.3">
      <c r="A13" s="1">
        <v>42339</v>
      </c>
      <c r="B13">
        <v>54.41</v>
      </c>
      <c r="C13">
        <v>56.849997999999999</v>
      </c>
      <c r="D13">
        <v>53.68</v>
      </c>
      <c r="E13">
        <v>55.48</v>
      </c>
      <c r="F13">
        <v>49.123581000000001</v>
      </c>
      <c r="G13">
        <v>792820900</v>
      </c>
      <c r="H13" s="2">
        <f t="shared" si="0"/>
        <v>2.7672199060489129E-2</v>
      </c>
    </row>
    <row r="14" spans="1:8" x14ac:dyDescent="0.3">
      <c r="A14" s="1">
        <v>42370</v>
      </c>
      <c r="B14">
        <v>54.32</v>
      </c>
      <c r="C14">
        <v>55.389999000000003</v>
      </c>
      <c r="D14">
        <v>49.099997999999999</v>
      </c>
      <c r="E14">
        <v>55.09</v>
      </c>
      <c r="F14">
        <v>48.778255000000001</v>
      </c>
      <c r="G14">
        <v>927914700</v>
      </c>
      <c r="H14" s="2">
        <f t="shared" si="0"/>
        <v>-7.0297399532008873E-3</v>
      </c>
    </row>
    <row r="15" spans="1:8" x14ac:dyDescent="0.3">
      <c r="A15" s="1">
        <v>42401</v>
      </c>
      <c r="B15">
        <v>54.880001</v>
      </c>
      <c r="C15">
        <v>55.09</v>
      </c>
      <c r="D15">
        <v>48.189999</v>
      </c>
      <c r="E15">
        <v>50.880001</v>
      </c>
      <c r="F15">
        <v>45.050601999999998</v>
      </c>
      <c r="G15">
        <v>814770900</v>
      </c>
      <c r="H15" s="2">
        <f t="shared" si="0"/>
        <v>-7.6420384452047407E-2</v>
      </c>
    </row>
    <row r="16" spans="1:8" x14ac:dyDescent="0.3">
      <c r="A16" s="1">
        <v>42430</v>
      </c>
      <c r="B16">
        <v>50.970001000000003</v>
      </c>
      <c r="C16">
        <v>55.639999000000003</v>
      </c>
      <c r="D16">
        <v>50.580002</v>
      </c>
      <c r="E16">
        <v>55.23</v>
      </c>
      <c r="F16">
        <v>49.253323000000002</v>
      </c>
      <c r="G16">
        <v>641110900</v>
      </c>
      <c r="H16" s="2">
        <f t="shared" si="0"/>
        <v>9.3288897671112231E-2</v>
      </c>
    </row>
    <row r="17" spans="1:8" x14ac:dyDescent="0.3">
      <c r="A17" s="1">
        <v>42461</v>
      </c>
      <c r="B17">
        <v>55.049999</v>
      </c>
      <c r="C17">
        <v>56.77</v>
      </c>
      <c r="D17">
        <v>49.349997999999999</v>
      </c>
      <c r="E17">
        <v>49.869999</v>
      </c>
      <c r="F17">
        <v>44.473354</v>
      </c>
      <c r="G17">
        <v>699025700</v>
      </c>
      <c r="H17" s="2">
        <f t="shared" si="0"/>
        <v>-9.7048660046754637E-2</v>
      </c>
    </row>
    <row r="18" spans="1:8" x14ac:dyDescent="0.3">
      <c r="A18" s="1">
        <v>42491</v>
      </c>
      <c r="B18">
        <v>50</v>
      </c>
      <c r="C18">
        <v>53</v>
      </c>
      <c r="D18">
        <v>49.459999000000003</v>
      </c>
      <c r="E18">
        <v>53</v>
      </c>
      <c r="F18">
        <v>47.264640999999997</v>
      </c>
      <c r="G18">
        <v>530704800</v>
      </c>
      <c r="H18" s="2">
        <f t="shared" si="0"/>
        <v>6.2763132279161971E-2</v>
      </c>
    </row>
    <row r="19" spans="1:8" x14ac:dyDescent="0.3">
      <c r="A19" s="1">
        <v>42522</v>
      </c>
      <c r="B19">
        <v>52.439999</v>
      </c>
      <c r="C19">
        <v>52.950001</v>
      </c>
      <c r="D19">
        <v>48.040000999999997</v>
      </c>
      <c r="E19">
        <v>51.169998</v>
      </c>
      <c r="F19">
        <v>45.951842999999997</v>
      </c>
      <c r="G19">
        <v>823627000</v>
      </c>
      <c r="H19" s="2">
        <f t="shared" si="0"/>
        <v>-2.7775478078845471E-2</v>
      </c>
    </row>
    <row r="20" spans="1:8" x14ac:dyDescent="0.3">
      <c r="A20" s="1">
        <v>42552</v>
      </c>
      <c r="B20">
        <v>51.130001</v>
      </c>
      <c r="C20">
        <v>57.290000999999997</v>
      </c>
      <c r="D20">
        <v>50.389999000000003</v>
      </c>
      <c r="E20">
        <v>56.68</v>
      </c>
      <c r="F20">
        <v>50.899951999999999</v>
      </c>
      <c r="G20">
        <v>647587800</v>
      </c>
      <c r="H20" s="2">
        <f t="shared" si="0"/>
        <v>0.10768031654356067</v>
      </c>
    </row>
    <row r="21" spans="1:8" x14ac:dyDescent="0.3">
      <c r="A21" s="1">
        <v>42583</v>
      </c>
      <c r="B21">
        <v>56.599997999999999</v>
      </c>
      <c r="C21">
        <v>58.700001</v>
      </c>
      <c r="D21">
        <v>56.139999000000003</v>
      </c>
      <c r="E21">
        <v>57.459999000000003</v>
      </c>
      <c r="F21">
        <v>51.600414000000001</v>
      </c>
      <c r="G21">
        <v>467078900</v>
      </c>
      <c r="H21" s="2">
        <f t="shared" si="0"/>
        <v>1.3761545393991761E-2</v>
      </c>
    </row>
    <row r="22" spans="1:8" x14ac:dyDescent="0.3">
      <c r="A22" s="1">
        <v>42614</v>
      </c>
      <c r="B22">
        <v>57.009998000000003</v>
      </c>
      <c r="C22">
        <v>58.189999</v>
      </c>
      <c r="D22">
        <v>55.610000999999997</v>
      </c>
      <c r="E22">
        <v>57.599997999999999</v>
      </c>
      <c r="F22">
        <v>52.048515000000002</v>
      </c>
      <c r="G22">
        <v>526427800</v>
      </c>
      <c r="H22" s="2">
        <f t="shared" si="0"/>
        <v>8.6840582325560644E-3</v>
      </c>
    </row>
    <row r="23" spans="1:8" x14ac:dyDescent="0.3">
      <c r="A23" s="1">
        <v>42644</v>
      </c>
      <c r="B23">
        <v>57.41</v>
      </c>
      <c r="C23">
        <v>61.369999</v>
      </c>
      <c r="D23">
        <v>56.32</v>
      </c>
      <c r="E23">
        <v>59.919998</v>
      </c>
      <c r="F23">
        <v>54.144931999999997</v>
      </c>
      <c r="G23">
        <v>614841800</v>
      </c>
      <c r="H23" s="2">
        <f t="shared" si="0"/>
        <v>4.0278132815124414E-2</v>
      </c>
    </row>
    <row r="24" spans="1:8" x14ac:dyDescent="0.3">
      <c r="A24" s="1">
        <v>42675</v>
      </c>
      <c r="B24">
        <v>59.970001000000003</v>
      </c>
      <c r="C24">
        <v>61.41</v>
      </c>
      <c r="D24">
        <v>57.279998999999997</v>
      </c>
      <c r="E24">
        <v>60.259998000000003</v>
      </c>
      <c r="F24">
        <v>54.452148000000001</v>
      </c>
      <c r="G24">
        <v>613056800</v>
      </c>
      <c r="H24" s="2">
        <f t="shared" si="0"/>
        <v>5.6739567056803015E-3</v>
      </c>
    </row>
    <row r="25" spans="1:8" x14ac:dyDescent="0.3">
      <c r="A25" s="1">
        <v>42705</v>
      </c>
      <c r="B25">
        <v>60.110000999999997</v>
      </c>
      <c r="C25">
        <v>64.099997999999999</v>
      </c>
      <c r="D25">
        <v>58.799999</v>
      </c>
      <c r="E25">
        <v>62.139999000000003</v>
      </c>
      <c r="F25">
        <v>56.530299999999997</v>
      </c>
      <c r="G25">
        <v>513579700</v>
      </c>
      <c r="H25" s="2">
        <f t="shared" si="0"/>
        <v>3.8164738698645936E-2</v>
      </c>
    </row>
    <row r="26" spans="1:8" x14ac:dyDescent="0.3">
      <c r="A26" s="1">
        <v>42736</v>
      </c>
      <c r="B26">
        <v>62.790000999999997</v>
      </c>
      <c r="C26">
        <v>65.910004000000001</v>
      </c>
      <c r="D26">
        <v>61.950001</v>
      </c>
      <c r="E26">
        <v>64.650002000000001</v>
      </c>
      <c r="F26">
        <v>58.813698000000002</v>
      </c>
      <c r="G26">
        <v>493453500</v>
      </c>
      <c r="H26" s="2">
        <f t="shared" si="0"/>
        <v>4.0392462095548858E-2</v>
      </c>
    </row>
    <row r="27" spans="1:8" x14ac:dyDescent="0.3">
      <c r="A27" s="1">
        <v>42767</v>
      </c>
      <c r="B27">
        <v>64.360000999999997</v>
      </c>
      <c r="C27">
        <v>65.239998</v>
      </c>
      <c r="D27">
        <v>62.75</v>
      </c>
      <c r="E27">
        <v>63.98</v>
      </c>
      <c r="F27">
        <v>58.204192999999997</v>
      </c>
      <c r="G27">
        <v>440744000</v>
      </c>
      <c r="H27" s="2">
        <f t="shared" si="0"/>
        <v>-1.0363317062634044E-2</v>
      </c>
    </row>
    <row r="28" spans="1:8" x14ac:dyDescent="0.3">
      <c r="A28" s="1">
        <v>42795</v>
      </c>
      <c r="B28">
        <v>64.129997000000003</v>
      </c>
      <c r="C28">
        <v>66.190002000000007</v>
      </c>
      <c r="D28">
        <v>63.619999</v>
      </c>
      <c r="E28">
        <v>65.860000999999997</v>
      </c>
      <c r="F28">
        <v>60.277683000000003</v>
      </c>
      <c r="G28">
        <v>489169700</v>
      </c>
      <c r="H28" s="2">
        <f t="shared" si="0"/>
        <v>3.5624409396072323E-2</v>
      </c>
    </row>
    <row r="29" spans="1:8" x14ac:dyDescent="0.3">
      <c r="A29" s="1">
        <v>42826</v>
      </c>
      <c r="B29">
        <v>65.809997999999993</v>
      </c>
      <c r="C29">
        <v>69.139999000000003</v>
      </c>
      <c r="D29">
        <v>64.849997999999999</v>
      </c>
      <c r="E29">
        <v>68.459998999999996</v>
      </c>
      <c r="F29">
        <v>62.657314</v>
      </c>
      <c r="G29">
        <v>433191200</v>
      </c>
      <c r="H29" s="2">
        <f t="shared" si="0"/>
        <v>3.9477811381701519E-2</v>
      </c>
    </row>
    <row r="30" spans="1:8" x14ac:dyDescent="0.3">
      <c r="A30" s="1">
        <v>42856</v>
      </c>
      <c r="B30">
        <v>68.680000000000007</v>
      </c>
      <c r="C30">
        <v>70.739998</v>
      </c>
      <c r="D30">
        <v>67.139999000000003</v>
      </c>
      <c r="E30">
        <v>69.839995999999999</v>
      </c>
      <c r="F30">
        <v>63.920333999999997</v>
      </c>
      <c r="G30">
        <v>517218500</v>
      </c>
      <c r="H30" s="2">
        <f t="shared" si="0"/>
        <v>2.0157582880108736E-2</v>
      </c>
    </row>
    <row r="31" spans="1:8" x14ac:dyDescent="0.3">
      <c r="A31" s="1">
        <v>42887</v>
      </c>
      <c r="B31">
        <v>70.239998</v>
      </c>
      <c r="C31">
        <v>72.889999000000003</v>
      </c>
      <c r="D31">
        <v>68.089995999999999</v>
      </c>
      <c r="E31">
        <v>68.930000000000007</v>
      </c>
      <c r="F31">
        <v>63.449081</v>
      </c>
      <c r="G31">
        <v>629716800</v>
      </c>
      <c r="H31" s="2">
        <f t="shared" si="0"/>
        <v>-7.3725052813396951E-3</v>
      </c>
    </row>
    <row r="32" spans="1:8" x14ac:dyDescent="0.3">
      <c r="A32" s="1">
        <v>42917</v>
      </c>
      <c r="B32">
        <v>69.330001999999993</v>
      </c>
      <c r="C32">
        <v>74.419998000000007</v>
      </c>
      <c r="D32">
        <v>68.019997000000004</v>
      </c>
      <c r="E32">
        <v>72.699996999999996</v>
      </c>
      <c r="F32">
        <v>66.919319000000002</v>
      </c>
      <c r="G32">
        <v>469851200</v>
      </c>
      <c r="H32" s="2">
        <f t="shared" si="0"/>
        <v>5.4693274438443039E-2</v>
      </c>
    </row>
    <row r="33" spans="1:8" x14ac:dyDescent="0.3">
      <c r="A33" s="1">
        <v>42948</v>
      </c>
      <c r="B33">
        <v>73.099997999999999</v>
      </c>
      <c r="C33">
        <v>74.959998999999996</v>
      </c>
      <c r="D33">
        <v>71.279999000000004</v>
      </c>
      <c r="E33">
        <v>74.769997000000004</v>
      </c>
      <c r="F33">
        <v>68.824737999999996</v>
      </c>
      <c r="G33">
        <v>444070500</v>
      </c>
      <c r="H33" s="2">
        <f t="shared" si="0"/>
        <v>2.8473377022859344E-2</v>
      </c>
    </row>
    <row r="34" spans="1:8" x14ac:dyDescent="0.3">
      <c r="A34" s="1">
        <v>42979</v>
      </c>
      <c r="B34">
        <v>74.709998999999996</v>
      </c>
      <c r="C34">
        <v>75.970000999999996</v>
      </c>
      <c r="D34">
        <v>72.919998000000007</v>
      </c>
      <c r="E34">
        <v>74.489998</v>
      </c>
      <c r="F34">
        <v>68.932320000000004</v>
      </c>
      <c r="G34">
        <v>375983900</v>
      </c>
      <c r="H34" s="2">
        <f t="shared" si="0"/>
        <v>1.5631298153290149E-3</v>
      </c>
    </row>
    <row r="35" spans="1:8" x14ac:dyDescent="0.3">
      <c r="A35" s="1">
        <v>43009</v>
      </c>
      <c r="B35">
        <v>74.709998999999996</v>
      </c>
      <c r="C35">
        <v>86.199996999999996</v>
      </c>
      <c r="D35">
        <v>73.709998999999996</v>
      </c>
      <c r="E35">
        <v>83.18</v>
      </c>
      <c r="F35">
        <v>76.973945999999998</v>
      </c>
      <c r="G35">
        <v>449950000</v>
      </c>
      <c r="H35" s="2">
        <f t="shared" si="0"/>
        <v>0.11665973232875367</v>
      </c>
    </row>
    <row r="36" spans="1:8" x14ac:dyDescent="0.3">
      <c r="A36" s="1">
        <v>43040</v>
      </c>
      <c r="B36">
        <v>83.68</v>
      </c>
      <c r="C36">
        <v>85.059997999999993</v>
      </c>
      <c r="D36">
        <v>82.239998</v>
      </c>
      <c r="E36">
        <v>84.169998000000007</v>
      </c>
      <c r="F36">
        <v>77.890099000000006</v>
      </c>
      <c r="G36">
        <v>421926000</v>
      </c>
      <c r="H36" s="2">
        <f t="shared" si="0"/>
        <v>1.1902118153069722E-2</v>
      </c>
    </row>
    <row r="37" spans="1:8" x14ac:dyDescent="0.3">
      <c r="A37" s="1">
        <v>43070</v>
      </c>
      <c r="B37">
        <v>83.599997999999999</v>
      </c>
      <c r="C37">
        <v>87.5</v>
      </c>
      <c r="D37">
        <v>80.699996999999996</v>
      </c>
      <c r="E37">
        <v>85.540001000000004</v>
      </c>
      <c r="F37">
        <v>79.555428000000006</v>
      </c>
      <c r="G37">
        <v>466203300</v>
      </c>
      <c r="H37" s="2">
        <f t="shared" si="0"/>
        <v>2.1380496640529364E-2</v>
      </c>
    </row>
    <row r="38" spans="1:8" x14ac:dyDescent="0.3">
      <c r="A38" s="1">
        <v>43101</v>
      </c>
      <c r="B38">
        <v>86.129997000000003</v>
      </c>
      <c r="C38">
        <v>95.449996999999996</v>
      </c>
      <c r="D38">
        <v>85.5</v>
      </c>
      <c r="E38">
        <v>95.010002</v>
      </c>
      <c r="F38">
        <v>88.362892000000002</v>
      </c>
      <c r="G38">
        <v>574258400</v>
      </c>
      <c r="H38" s="2">
        <f t="shared" si="0"/>
        <v>0.11070852387344325</v>
      </c>
    </row>
    <row r="39" spans="1:8" x14ac:dyDescent="0.3">
      <c r="A39" s="1">
        <v>43132</v>
      </c>
      <c r="B39">
        <v>94.790001000000004</v>
      </c>
      <c r="C39">
        <v>96.07</v>
      </c>
      <c r="D39">
        <v>83.830001999999993</v>
      </c>
      <c r="E39">
        <v>93.769997000000004</v>
      </c>
      <c r="F39">
        <v>87.209609999999998</v>
      </c>
      <c r="G39">
        <v>725663300</v>
      </c>
      <c r="H39" s="2">
        <f t="shared" si="0"/>
        <v>-1.3051655212914537E-2</v>
      </c>
    </row>
    <row r="40" spans="1:8" x14ac:dyDescent="0.3">
      <c r="A40" s="1">
        <v>43160</v>
      </c>
      <c r="B40">
        <v>93.989998</v>
      </c>
      <c r="C40">
        <v>97.239998</v>
      </c>
      <c r="D40">
        <v>87.080001999999993</v>
      </c>
      <c r="E40">
        <v>91.269997000000004</v>
      </c>
      <c r="F40">
        <v>85.283264000000003</v>
      </c>
      <c r="G40">
        <v>750754800</v>
      </c>
      <c r="H40" s="2">
        <f t="shared" si="0"/>
        <v>-2.2088689537769924E-2</v>
      </c>
    </row>
    <row r="41" spans="1:8" x14ac:dyDescent="0.3">
      <c r="A41" s="1">
        <v>43191</v>
      </c>
      <c r="B41">
        <v>90.470000999999996</v>
      </c>
      <c r="C41">
        <v>97.900002000000001</v>
      </c>
      <c r="D41">
        <v>87.510002</v>
      </c>
      <c r="E41">
        <v>93.519997000000004</v>
      </c>
      <c r="F41">
        <v>87.385681000000005</v>
      </c>
      <c r="G41">
        <v>668130700</v>
      </c>
      <c r="H41" s="2">
        <f t="shared" si="0"/>
        <v>2.4652163875904218E-2</v>
      </c>
    </row>
    <row r="42" spans="1:8" x14ac:dyDescent="0.3">
      <c r="A42" s="1">
        <v>43221</v>
      </c>
      <c r="B42">
        <v>93.209998999999996</v>
      </c>
      <c r="C42">
        <v>99.989998</v>
      </c>
      <c r="D42">
        <v>92.449996999999996</v>
      </c>
      <c r="E42">
        <v>98.839995999999999</v>
      </c>
      <c r="F42">
        <v>92.356742999999994</v>
      </c>
      <c r="G42">
        <v>509417900</v>
      </c>
      <c r="H42" s="2">
        <f t="shared" si="0"/>
        <v>5.6886459464680364E-2</v>
      </c>
    </row>
    <row r="43" spans="1:8" x14ac:dyDescent="0.3">
      <c r="A43" s="1">
        <v>43252</v>
      </c>
      <c r="B43">
        <v>99.279999000000004</v>
      </c>
      <c r="C43">
        <v>102.69000200000001</v>
      </c>
      <c r="D43">
        <v>97.260002</v>
      </c>
      <c r="E43">
        <v>98.610000999999997</v>
      </c>
      <c r="F43">
        <v>92.541206000000003</v>
      </c>
      <c r="G43">
        <v>602585200</v>
      </c>
      <c r="H43" s="2">
        <f t="shared" si="0"/>
        <v>1.9972878428595954E-3</v>
      </c>
    </row>
    <row r="44" spans="1:8" x14ac:dyDescent="0.3">
      <c r="A44" s="1">
        <v>43282</v>
      </c>
      <c r="B44">
        <v>98.099997999999999</v>
      </c>
      <c r="C44">
        <v>111.150002</v>
      </c>
      <c r="D44">
        <v>98</v>
      </c>
      <c r="E44">
        <v>106.08000199999999</v>
      </c>
      <c r="F44">
        <v>99.551475999999994</v>
      </c>
      <c r="G44">
        <v>569352300</v>
      </c>
      <c r="H44" s="2">
        <f t="shared" si="0"/>
        <v>7.5752957012468494E-2</v>
      </c>
    </row>
    <row r="45" spans="1:8" x14ac:dyDescent="0.3">
      <c r="A45" s="1">
        <v>43313</v>
      </c>
      <c r="B45">
        <v>106.029999</v>
      </c>
      <c r="C45">
        <v>112.779999</v>
      </c>
      <c r="D45">
        <v>104.839996</v>
      </c>
      <c r="E45">
        <v>112.33000199999999</v>
      </c>
      <c r="F45">
        <v>105.416832</v>
      </c>
      <c r="G45">
        <v>456628100</v>
      </c>
      <c r="H45" s="2">
        <f t="shared" si="0"/>
        <v>5.8917820565513319E-2</v>
      </c>
    </row>
    <row r="46" spans="1:8" x14ac:dyDescent="0.3">
      <c r="A46" s="1">
        <v>43344</v>
      </c>
      <c r="B46">
        <v>110.849998</v>
      </c>
      <c r="C46">
        <v>115.290001</v>
      </c>
      <c r="D46">
        <v>107.230003</v>
      </c>
      <c r="E46">
        <v>114.370003</v>
      </c>
      <c r="F46">
        <v>107.74432400000001</v>
      </c>
      <c r="G46">
        <v>480255500</v>
      </c>
      <c r="H46" s="2">
        <f t="shared" si="0"/>
        <v>2.2078940865914151E-2</v>
      </c>
    </row>
    <row r="47" spans="1:8" x14ac:dyDescent="0.3">
      <c r="A47" s="1">
        <v>43374</v>
      </c>
      <c r="B47">
        <v>114.75</v>
      </c>
      <c r="C47">
        <v>116.18</v>
      </c>
      <c r="D47">
        <v>100.110001</v>
      </c>
      <c r="E47">
        <v>106.80999799999999</v>
      </c>
      <c r="F47">
        <v>100.622299</v>
      </c>
      <c r="G47">
        <v>927548000</v>
      </c>
      <c r="H47" s="2">
        <f t="shared" si="0"/>
        <v>-6.6101161857955573E-2</v>
      </c>
    </row>
    <row r="48" spans="1:8" x14ac:dyDescent="0.3">
      <c r="A48" s="1">
        <v>43405</v>
      </c>
      <c r="B48">
        <v>107.050003</v>
      </c>
      <c r="C48">
        <v>112.239998</v>
      </c>
      <c r="D48">
        <v>99.349997999999999</v>
      </c>
      <c r="E48">
        <v>110.889999</v>
      </c>
      <c r="F48">
        <v>104.465912</v>
      </c>
      <c r="G48">
        <v>720228600</v>
      </c>
      <c r="H48" s="2">
        <f t="shared" si="0"/>
        <v>3.8198421604340456E-2</v>
      </c>
    </row>
    <row r="49" spans="1:8" x14ac:dyDescent="0.3">
      <c r="A49" s="1">
        <v>43435</v>
      </c>
      <c r="B49">
        <v>113</v>
      </c>
      <c r="C49">
        <v>113.41999800000001</v>
      </c>
      <c r="D49">
        <v>93.959998999999996</v>
      </c>
      <c r="E49">
        <v>101.57</v>
      </c>
      <c r="F49">
        <v>96.099204999999998</v>
      </c>
      <c r="G49">
        <v>944314600</v>
      </c>
      <c r="H49" s="2">
        <f t="shared" si="0"/>
        <v>-8.0090307353081883E-2</v>
      </c>
    </row>
    <row r="50" spans="1:8" x14ac:dyDescent="0.3">
      <c r="A50" s="1">
        <v>43466</v>
      </c>
      <c r="B50">
        <v>99.550003000000004</v>
      </c>
      <c r="C50">
        <v>107.900002</v>
      </c>
      <c r="D50">
        <v>97.199996999999996</v>
      </c>
      <c r="E50">
        <v>104.43</v>
      </c>
      <c r="F50">
        <v>98.805167999999995</v>
      </c>
      <c r="G50">
        <v>714212800</v>
      </c>
      <c r="H50" s="2">
        <f t="shared" si="0"/>
        <v>2.8158016499720231E-2</v>
      </c>
    </row>
    <row r="51" spans="1:8" x14ac:dyDescent="0.3">
      <c r="A51" s="1">
        <v>43497</v>
      </c>
      <c r="B51">
        <v>103.779999</v>
      </c>
      <c r="C51">
        <v>113.239998</v>
      </c>
      <c r="D51">
        <v>102.349998</v>
      </c>
      <c r="E51">
        <v>112.029999</v>
      </c>
      <c r="F51">
        <v>105.99582700000001</v>
      </c>
      <c r="G51">
        <v>469095900</v>
      </c>
      <c r="H51" s="2">
        <f t="shared" si="0"/>
        <v>7.2776142640636074E-2</v>
      </c>
    </row>
    <row r="52" spans="1:8" x14ac:dyDescent="0.3">
      <c r="A52" s="1">
        <v>43525</v>
      </c>
      <c r="B52">
        <v>112.889999</v>
      </c>
      <c r="C52">
        <v>120.82</v>
      </c>
      <c r="D52">
        <v>108.800003</v>
      </c>
      <c r="E52">
        <v>117.94000200000001</v>
      </c>
      <c r="F52">
        <v>112.06405599999999</v>
      </c>
      <c r="G52">
        <v>589095800</v>
      </c>
      <c r="H52" s="2">
        <f t="shared" si="0"/>
        <v>5.724969719798486E-2</v>
      </c>
    </row>
    <row r="53" spans="1:8" x14ac:dyDescent="0.3">
      <c r="A53" s="1">
        <v>43556</v>
      </c>
      <c r="B53">
        <v>118.949997</v>
      </c>
      <c r="C53">
        <v>131.36999499999999</v>
      </c>
      <c r="D53">
        <v>118.099998</v>
      </c>
      <c r="E53">
        <v>130.60000600000001</v>
      </c>
      <c r="F53">
        <v>124.093315</v>
      </c>
      <c r="G53">
        <v>433157700</v>
      </c>
      <c r="H53" s="2">
        <f t="shared" si="0"/>
        <v>0.10734270585387352</v>
      </c>
    </row>
    <row r="54" spans="1:8" x14ac:dyDescent="0.3">
      <c r="A54" s="1">
        <v>43586</v>
      </c>
      <c r="B54">
        <v>130.529999</v>
      </c>
      <c r="C54">
        <v>130.64999399999999</v>
      </c>
      <c r="D54">
        <v>123.040001</v>
      </c>
      <c r="E54">
        <v>123.68</v>
      </c>
      <c r="F54">
        <v>117.518066</v>
      </c>
      <c r="G54">
        <v>547218800</v>
      </c>
      <c r="H54" s="2">
        <f t="shared" si="0"/>
        <v>-5.2986327265090782E-2</v>
      </c>
    </row>
    <row r="55" spans="1:8" x14ac:dyDescent="0.3">
      <c r="A55" s="1">
        <v>43617</v>
      </c>
      <c r="B55">
        <v>123.849998</v>
      </c>
      <c r="C55">
        <v>138.39999399999999</v>
      </c>
      <c r="D55">
        <v>119.010002</v>
      </c>
      <c r="E55">
        <v>133.96000699999999</v>
      </c>
      <c r="F55">
        <v>127.75707199999999</v>
      </c>
      <c r="G55">
        <v>508324300</v>
      </c>
      <c r="H55" s="2">
        <f t="shared" si="0"/>
        <v>8.7127080529048093E-2</v>
      </c>
    </row>
    <row r="56" spans="1:8" x14ac:dyDescent="0.3">
      <c r="A56" s="1">
        <v>43647</v>
      </c>
      <c r="B56">
        <v>136.63000500000001</v>
      </c>
      <c r="C56">
        <v>141.679993</v>
      </c>
      <c r="D56">
        <v>134.66999799999999</v>
      </c>
      <c r="E56">
        <v>136.270004</v>
      </c>
      <c r="F56">
        <v>129.96012899999999</v>
      </c>
      <c r="G56">
        <v>484079900</v>
      </c>
      <c r="H56" s="2">
        <f t="shared" si="0"/>
        <v>1.7244109977723982E-2</v>
      </c>
    </row>
    <row r="57" spans="1:8" x14ac:dyDescent="0.3">
      <c r="A57" s="1">
        <v>43678</v>
      </c>
      <c r="B57">
        <v>137</v>
      </c>
      <c r="C57">
        <v>140.94000199999999</v>
      </c>
      <c r="D57">
        <v>130.779999</v>
      </c>
      <c r="E57">
        <v>137.86000100000001</v>
      </c>
      <c r="F57">
        <v>131.47650100000001</v>
      </c>
      <c r="G57">
        <v>584482000</v>
      </c>
      <c r="H57" s="2">
        <f t="shared" si="0"/>
        <v>1.1667978569027262E-2</v>
      </c>
    </row>
    <row r="58" spans="1:8" x14ac:dyDescent="0.3">
      <c r="A58" s="1">
        <v>43709</v>
      </c>
      <c r="B58">
        <v>136.61000100000001</v>
      </c>
      <c r="C58">
        <v>142.36999499999999</v>
      </c>
      <c r="D58">
        <v>134.509995</v>
      </c>
      <c r="E58">
        <v>139.029999</v>
      </c>
      <c r="F58">
        <v>133.03384399999999</v>
      </c>
      <c r="G58">
        <v>472544800</v>
      </c>
      <c r="H58" s="2">
        <f t="shared" si="0"/>
        <v>1.184502924975144E-2</v>
      </c>
    </row>
    <row r="59" spans="1:8" x14ac:dyDescent="0.3">
      <c r="A59" s="1">
        <v>43739</v>
      </c>
      <c r="B59">
        <v>139.66000399999999</v>
      </c>
      <c r="C59">
        <v>145.66999799999999</v>
      </c>
      <c r="D59">
        <v>133.220001</v>
      </c>
      <c r="E59">
        <v>143.36999499999999</v>
      </c>
      <c r="F59">
        <v>137.18666099999999</v>
      </c>
      <c r="G59">
        <v>549523400</v>
      </c>
      <c r="H59" s="2">
        <f t="shared" si="0"/>
        <v>3.1216244491890345E-2</v>
      </c>
    </row>
    <row r="60" spans="1:8" x14ac:dyDescent="0.3">
      <c r="A60" s="1">
        <v>43770</v>
      </c>
      <c r="B60">
        <v>144.259995</v>
      </c>
      <c r="C60">
        <v>152.5</v>
      </c>
      <c r="D60">
        <v>142.970001</v>
      </c>
      <c r="E60">
        <v>151.38000500000001</v>
      </c>
      <c r="F60">
        <v>144.85119599999999</v>
      </c>
      <c r="G60">
        <v>392371800</v>
      </c>
      <c r="H60" s="2">
        <f t="shared" si="0"/>
        <v>5.5869389517396312E-2</v>
      </c>
    </row>
    <row r="61" spans="1:8" x14ac:dyDescent="0.3">
      <c r="A61" s="1">
        <v>43800</v>
      </c>
      <c r="B61">
        <v>151.80999800000001</v>
      </c>
      <c r="C61">
        <v>159.550003</v>
      </c>
      <c r="D61">
        <v>146.64999399999999</v>
      </c>
      <c r="E61">
        <v>157.699997</v>
      </c>
      <c r="F61">
        <v>151.41210899999999</v>
      </c>
      <c r="G61">
        <v>450303300</v>
      </c>
      <c r="H61" s="2">
        <f t="shared" si="0"/>
        <v>4.5294158289172839E-2</v>
      </c>
    </row>
    <row r="62" spans="1:8" x14ac:dyDescent="0.3">
      <c r="A62" s="1">
        <v>43831</v>
      </c>
      <c r="B62">
        <v>158.779999</v>
      </c>
      <c r="C62">
        <v>174.050003</v>
      </c>
      <c r="D62">
        <v>156.509995</v>
      </c>
      <c r="E62">
        <v>170.229996</v>
      </c>
      <c r="F62">
        <v>163.44245900000001</v>
      </c>
      <c r="G62">
        <v>558530000</v>
      </c>
      <c r="H62" s="2">
        <f t="shared" si="0"/>
        <v>7.9454345358864448E-2</v>
      </c>
    </row>
    <row r="63" spans="1:8" x14ac:dyDescent="0.3">
      <c r="A63" s="1">
        <v>43862</v>
      </c>
      <c r="B63">
        <v>170.429993</v>
      </c>
      <c r="C63">
        <v>190.699997</v>
      </c>
      <c r="D63">
        <v>152</v>
      </c>
      <c r="E63">
        <v>162.009995</v>
      </c>
      <c r="F63">
        <v>155.55024700000001</v>
      </c>
      <c r="G63">
        <v>887522300</v>
      </c>
      <c r="H63" s="2">
        <f t="shared" si="0"/>
        <v>-4.8287403703342474E-2</v>
      </c>
    </row>
    <row r="64" spans="1:8" x14ac:dyDescent="0.3">
      <c r="A64" s="1">
        <v>43891</v>
      </c>
      <c r="B64">
        <v>165.30999800000001</v>
      </c>
      <c r="C64">
        <v>175</v>
      </c>
      <c r="D64">
        <v>132.520004</v>
      </c>
      <c r="E64">
        <v>157.71000699999999</v>
      </c>
      <c r="F64">
        <v>151.83531199999999</v>
      </c>
      <c r="G64">
        <v>1612695500</v>
      </c>
      <c r="H64" s="2">
        <f t="shared" si="0"/>
        <v>-2.3882540025796456E-2</v>
      </c>
    </row>
    <row r="65" spans="1:8" x14ac:dyDescent="0.3">
      <c r="A65" s="1">
        <v>43922</v>
      </c>
      <c r="B65">
        <v>153</v>
      </c>
      <c r="C65">
        <v>180.39999399999999</v>
      </c>
      <c r="D65">
        <v>150.36000100000001</v>
      </c>
      <c r="E65">
        <v>179.21000699999999</v>
      </c>
      <c r="F65">
        <v>172.534424</v>
      </c>
      <c r="G65">
        <v>984705000</v>
      </c>
      <c r="H65" s="2">
        <f t="shared" si="0"/>
        <v>0.13632607413484957</v>
      </c>
    </row>
    <row r="66" spans="1:8" x14ac:dyDescent="0.3">
      <c r="A66" s="1">
        <v>43952</v>
      </c>
      <c r="B66">
        <v>175.800003</v>
      </c>
      <c r="C66">
        <v>187.509995</v>
      </c>
      <c r="D66">
        <v>173.800003</v>
      </c>
      <c r="E66">
        <v>183.25</v>
      </c>
      <c r="F66">
        <v>176.42390399999999</v>
      </c>
      <c r="G66">
        <v>688845000</v>
      </c>
      <c r="H66" s="2">
        <f t="shared" ref="H66:H115" si="1">(F66-F65)/F65</f>
        <v>2.2543211434722103E-2</v>
      </c>
    </row>
    <row r="67" spans="1:8" x14ac:dyDescent="0.3">
      <c r="A67" s="1">
        <v>43983</v>
      </c>
      <c r="B67">
        <v>182.53999300000001</v>
      </c>
      <c r="C67">
        <v>204.39999399999999</v>
      </c>
      <c r="D67">
        <v>181.35000600000001</v>
      </c>
      <c r="E67">
        <v>203.509995</v>
      </c>
      <c r="F67">
        <v>196.47491500000001</v>
      </c>
      <c r="G67">
        <v>764965400</v>
      </c>
      <c r="H67" s="2">
        <f t="shared" si="1"/>
        <v>0.11365246174350624</v>
      </c>
    </row>
    <row r="68" spans="1:8" x14ac:dyDescent="0.3">
      <c r="A68" s="1">
        <v>44013</v>
      </c>
      <c r="B68">
        <v>203.13999899999999</v>
      </c>
      <c r="C68">
        <v>216.38000500000001</v>
      </c>
      <c r="D68">
        <v>197.509995</v>
      </c>
      <c r="E68">
        <v>205.009995</v>
      </c>
      <c r="F68">
        <v>197.92301900000001</v>
      </c>
      <c r="G68">
        <v>770190800</v>
      </c>
      <c r="H68" s="2">
        <f t="shared" si="1"/>
        <v>7.3704269066613452E-3</v>
      </c>
    </row>
    <row r="69" spans="1:8" x14ac:dyDescent="0.3">
      <c r="A69" s="1">
        <v>44044</v>
      </c>
      <c r="B69">
        <v>211.520004</v>
      </c>
      <c r="C69">
        <v>231.14999399999999</v>
      </c>
      <c r="D69">
        <v>203.13999899999999</v>
      </c>
      <c r="E69">
        <v>225.529999</v>
      </c>
      <c r="F69">
        <v>217.73370399999999</v>
      </c>
      <c r="G69">
        <v>692423900</v>
      </c>
      <c r="H69" s="2">
        <f t="shared" si="1"/>
        <v>0.10009288005050072</v>
      </c>
    </row>
    <row r="70" spans="1:8" x14ac:dyDescent="0.3">
      <c r="A70" s="1">
        <v>44075</v>
      </c>
      <c r="B70">
        <v>225.509995</v>
      </c>
      <c r="C70">
        <v>232.86000100000001</v>
      </c>
      <c r="D70">
        <v>196.25</v>
      </c>
      <c r="E70">
        <v>210.33000200000001</v>
      </c>
      <c r="F70">
        <v>203.550003</v>
      </c>
      <c r="G70">
        <v>768176300</v>
      </c>
      <c r="H70" s="2">
        <f t="shared" si="1"/>
        <v>-6.5142422782648229E-2</v>
      </c>
    </row>
    <row r="71" spans="1:8" x14ac:dyDescent="0.3">
      <c r="A71" s="1">
        <v>44105</v>
      </c>
      <c r="B71">
        <v>213.490005</v>
      </c>
      <c r="C71">
        <v>225.21000699999999</v>
      </c>
      <c r="D71">
        <v>199.61999499999999</v>
      </c>
      <c r="E71">
        <v>202.470001</v>
      </c>
      <c r="F71">
        <v>195.94335899999999</v>
      </c>
      <c r="G71">
        <v>631618000</v>
      </c>
      <c r="H71" s="2">
        <f t="shared" si="1"/>
        <v>-3.736990364966989E-2</v>
      </c>
    </row>
    <row r="72" spans="1:8" x14ac:dyDescent="0.3">
      <c r="A72" s="1">
        <v>44136</v>
      </c>
      <c r="B72">
        <v>204.28999300000001</v>
      </c>
      <c r="C72">
        <v>228.11999499999999</v>
      </c>
      <c r="D72">
        <v>200.11999499999999</v>
      </c>
      <c r="E72">
        <v>214.070007</v>
      </c>
      <c r="F72">
        <v>207.169434</v>
      </c>
      <c r="G72">
        <v>573443000</v>
      </c>
      <c r="H72" s="2">
        <f t="shared" si="1"/>
        <v>5.7292449498122615E-2</v>
      </c>
    </row>
    <row r="73" spans="1:8" x14ac:dyDescent="0.3">
      <c r="A73" s="1">
        <v>44166</v>
      </c>
      <c r="B73">
        <v>214.509995</v>
      </c>
      <c r="C73">
        <v>227.179993</v>
      </c>
      <c r="D73">
        <v>209.11000100000001</v>
      </c>
      <c r="E73">
        <v>222.41999799999999</v>
      </c>
      <c r="F73">
        <v>215.81381200000001</v>
      </c>
      <c r="G73">
        <v>594761700</v>
      </c>
      <c r="H73" s="2">
        <f t="shared" si="1"/>
        <v>4.1726126451646424E-2</v>
      </c>
    </row>
    <row r="74" spans="1:8" x14ac:dyDescent="0.3">
      <c r="A74" s="1">
        <v>44197</v>
      </c>
      <c r="B74">
        <v>222.529999</v>
      </c>
      <c r="C74">
        <v>242.63999899999999</v>
      </c>
      <c r="D74">
        <v>211.94000199999999</v>
      </c>
      <c r="E74">
        <v>231.96000699999999</v>
      </c>
      <c r="F74">
        <v>225.07048</v>
      </c>
      <c r="G74">
        <v>648076400</v>
      </c>
      <c r="H74" s="2">
        <f t="shared" si="1"/>
        <v>4.2891916482157268E-2</v>
      </c>
    </row>
    <row r="75" spans="1:8" x14ac:dyDescent="0.3">
      <c r="A75" s="1">
        <v>44228</v>
      </c>
      <c r="B75">
        <v>235.05999800000001</v>
      </c>
      <c r="C75">
        <v>246.13000500000001</v>
      </c>
      <c r="D75">
        <v>227.88000500000001</v>
      </c>
      <c r="E75">
        <v>232.38000500000001</v>
      </c>
      <c r="F75">
        <v>225.47801200000001</v>
      </c>
      <c r="G75">
        <v>490962200</v>
      </c>
      <c r="H75" s="2">
        <f t="shared" si="1"/>
        <v>1.8106861459574945E-3</v>
      </c>
    </row>
    <row r="76" spans="1:8" x14ac:dyDescent="0.3">
      <c r="A76" s="1">
        <v>44256</v>
      </c>
      <c r="B76">
        <v>235.89999399999999</v>
      </c>
      <c r="C76">
        <v>241.050003</v>
      </c>
      <c r="D76">
        <v>224.259995</v>
      </c>
      <c r="E76">
        <v>235.770004</v>
      </c>
      <c r="F76">
        <v>229.29420500000001</v>
      </c>
      <c r="G76">
        <v>724945800</v>
      </c>
      <c r="H76" s="2">
        <f t="shared" si="1"/>
        <v>1.6924900863504146E-2</v>
      </c>
    </row>
    <row r="77" spans="1:8" x14ac:dyDescent="0.3">
      <c r="A77" s="1">
        <v>44287</v>
      </c>
      <c r="B77">
        <v>238.470001</v>
      </c>
      <c r="C77">
        <v>263.19000199999999</v>
      </c>
      <c r="D77">
        <v>238.050003</v>
      </c>
      <c r="E77">
        <v>252.179993</v>
      </c>
      <c r="F77">
        <v>245.25344799999999</v>
      </c>
      <c r="G77">
        <v>568661600</v>
      </c>
      <c r="H77" s="2">
        <f t="shared" si="1"/>
        <v>6.9601597650494423E-2</v>
      </c>
    </row>
    <row r="78" spans="1:8" x14ac:dyDescent="0.3">
      <c r="A78" s="1">
        <v>44317</v>
      </c>
      <c r="B78">
        <v>253.39999399999999</v>
      </c>
      <c r="C78">
        <v>254.35000600000001</v>
      </c>
      <c r="D78">
        <v>238.070007</v>
      </c>
      <c r="E78">
        <v>249.679993</v>
      </c>
      <c r="F78">
        <v>242.82214400000001</v>
      </c>
      <c r="G78">
        <v>495084900</v>
      </c>
      <c r="H78" s="2">
        <f t="shared" si="1"/>
        <v>-9.9134345299805252E-3</v>
      </c>
    </row>
    <row r="79" spans="1:8" x14ac:dyDescent="0.3">
      <c r="A79" s="1">
        <v>44348</v>
      </c>
      <c r="B79">
        <v>251.229996</v>
      </c>
      <c r="C79">
        <v>271.64999399999999</v>
      </c>
      <c r="D79">
        <v>243</v>
      </c>
      <c r="E79">
        <v>270.89999399999999</v>
      </c>
      <c r="F79">
        <v>264.06759599999998</v>
      </c>
      <c r="G79">
        <v>508572200</v>
      </c>
      <c r="H79" s="2">
        <f t="shared" si="1"/>
        <v>8.7493881941837937E-2</v>
      </c>
    </row>
    <row r="80" spans="1:8" x14ac:dyDescent="0.3">
      <c r="A80" s="1">
        <v>44378</v>
      </c>
      <c r="B80">
        <v>269.60998499999999</v>
      </c>
      <c r="C80">
        <v>290.14999399999999</v>
      </c>
      <c r="D80">
        <v>269.60000600000001</v>
      </c>
      <c r="E80">
        <v>284.91000400000001</v>
      </c>
      <c r="F80">
        <v>277.72436499999998</v>
      </c>
      <c r="G80">
        <v>522672700</v>
      </c>
      <c r="H80" s="2">
        <f t="shared" si="1"/>
        <v>5.17169437176987E-2</v>
      </c>
    </row>
    <row r="81" spans="1:8" x14ac:dyDescent="0.3">
      <c r="A81" s="1">
        <v>44409</v>
      </c>
      <c r="B81">
        <v>286.35998499999999</v>
      </c>
      <c r="C81">
        <v>305.83999599999999</v>
      </c>
      <c r="D81">
        <v>283.73998999999998</v>
      </c>
      <c r="E81">
        <v>301.88000499999998</v>
      </c>
      <c r="F81">
        <v>294.26635700000003</v>
      </c>
      <c r="G81">
        <v>441308900</v>
      </c>
      <c r="H81" s="2">
        <f t="shared" si="1"/>
        <v>5.9562624258768404E-2</v>
      </c>
    </row>
    <row r="82" spans="1:8" x14ac:dyDescent="0.3">
      <c r="A82" s="1">
        <v>44440</v>
      </c>
      <c r="B82">
        <v>302.86999500000002</v>
      </c>
      <c r="C82">
        <v>305.32000699999998</v>
      </c>
      <c r="D82">
        <v>281.61999500000002</v>
      </c>
      <c r="E82">
        <v>281.92001299999998</v>
      </c>
      <c r="F82">
        <v>275.33581500000003</v>
      </c>
      <c r="G82">
        <v>502918700</v>
      </c>
      <c r="H82" s="2">
        <f t="shared" si="1"/>
        <v>-6.4331315998858815E-2</v>
      </c>
    </row>
    <row r="83" spans="1:8" x14ac:dyDescent="0.3">
      <c r="A83" s="1">
        <v>44470</v>
      </c>
      <c r="B83">
        <v>282.11999500000002</v>
      </c>
      <c r="C83">
        <v>332</v>
      </c>
      <c r="D83">
        <v>280.25</v>
      </c>
      <c r="E83">
        <v>331.61999500000002</v>
      </c>
      <c r="F83">
        <v>323.87512199999998</v>
      </c>
      <c r="G83">
        <v>516515800</v>
      </c>
      <c r="H83" s="2">
        <f t="shared" si="1"/>
        <v>0.1762912935972385</v>
      </c>
    </row>
    <row r="84" spans="1:8" x14ac:dyDescent="0.3">
      <c r="A84" s="1">
        <v>44501</v>
      </c>
      <c r="B84">
        <v>331.35998499999999</v>
      </c>
      <c r="C84">
        <v>349.67001299999998</v>
      </c>
      <c r="D84">
        <v>326.36999500000002</v>
      </c>
      <c r="E84">
        <v>330.58999599999999</v>
      </c>
      <c r="F84">
        <v>322.86917099999999</v>
      </c>
      <c r="G84">
        <v>509885200</v>
      </c>
      <c r="H84" s="2">
        <f t="shared" si="1"/>
        <v>-3.1059841638592478E-3</v>
      </c>
    </row>
    <row r="85" spans="1:8" x14ac:dyDescent="0.3">
      <c r="A85" s="1">
        <v>44531</v>
      </c>
      <c r="B85">
        <v>335.13000499999998</v>
      </c>
      <c r="C85">
        <v>344.29998799999998</v>
      </c>
      <c r="D85">
        <v>317.25</v>
      </c>
      <c r="E85">
        <v>336.32000699999998</v>
      </c>
      <c r="F85">
        <v>329.06625400000001</v>
      </c>
      <c r="G85">
        <v>625674800</v>
      </c>
      <c r="H85" s="2">
        <f t="shared" si="1"/>
        <v>1.9193789796672849E-2</v>
      </c>
    </row>
    <row r="86" spans="1:8" x14ac:dyDescent="0.3">
      <c r="A86" s="1">
        <v>44562</v>
      </c>
      <c r="B86">
        <v>335.35000600000001</v>
      </c>
      <c r="C86">
        <v>338</v>
      </c>
      <c r="D86">
        <v>276.04998799999998</v>
      </c>
      <c r="E86">
        <v>310.98001099999999</v>
      </c>
      <c r="F86">
        <v>304.27276599999999</v>
      </c>
      <c r="G86">
        <v>947531400</v>
      </c>
      <c r="H86" s="2">
        <f t="shared" si="1"/>
        <v>-7.5344972930588089E-2</v>
      </c>
    </row>
    <row r="87" spans="1:8" x14ac:dyDescent="0.3">
      <c r="A87" s="1">
        <v>44593</v>
      </c>
      <c r="B87">
        <v>310.41000400000001</v>
      </c>
      <c r="C87">
        <v>315.11999500000002</v>
      </c>
      <c r="D87">
        <v>271.51998900000001</v>
      </c>
      <c r="E87">
        <v>298.790009</v>
      </c>
      <c r="F87">
        <v>292.34570300000001</v>
      </c>
      <c r="G87">
        <v>697050600</v>
      </c>
      <c r="H87" s="2">
        <f t="shared" si="1"/>
        <v>-3.9198588676845225E-2</v>
      </c>
    </row>
    <row r="88" spans="1:8" x14ac:dyDescent="0.3">
      <c r="A88" s="1">
        <v>44621</v>
      </c>
      <c r="B88">
        <v>296.39999399999999</v>
      </c>
      <c r="C88">
        <v>315.95001200000002</v>
      </c>
      <c r="D88">
        <v>270</v>
      </c>
      <c r="E88">
        <v>308.30999800000001</v>
      </c>
      <c r="F88">
        <v>302.28411899999998</v>
      </c>
      <c r="G88">
        <v>734334200</v>
      </c>
      <c r="H88" s="2">
        <f t="shared" si="1"/>
        <v>3.399542356194632E-2</v>
      </c>
    </row>
    <row r="89" spans="1:8" x14ac:dyDescent="0.3">
      <c r="A89" s="1">
        <v>44652</v>
      </c>
      <c r="B89">
        <v>309.36999500000002</v>
      </c>
      <c r="C89">
        <v>315.10998499999999</v>
      </c>
      <c r="D89">
        <v>270</v>
      </c>
      <c r="E89">
        <v>277.51998900000001</v>
      </c>
      <c r="F89">
        <v>272.09588600000001</v>
      </c>
      <c r="G89">
        <v>627343400</v>
      </c>
      <c r="H89" s="2">
        <f t="shared" si="1"/>
        <v>-9.9867082332565318E-2</v>
      </c>
    </row>
    <row r="90" spans="1:8" x14ac:dyDescent="0.3">
      <c r="A90" s="1">
        <v>44682</v>
      </c>
      <c r="B90">
        <v>277.709991</v>
      </c>
      <c r="C90">
        <v>290.88000499999998</v>
      </c>
      <c r="D90">
        <v>246.44000199999999</v>
      </c>
      <c r="E90">
        <v>271.86999500000002</v>
      </c>
      <c r="F90">
        <v>266.55633499999999</v>
      </c>
      <c r="G90">
        <v>742902000</v>
      </c>
      <c r="H90" s="2">
        <f t="shared" si="1"/>
        <v>-2.0358819390602682E-2</v>
      </c>
    </row>
    <row r="91" spans="1:8" x14ac:dyDescent="0.3">
      <c r="A91" s="1">
        <v>44713</v>
      </c>
      <c r="B91">
        <v>275.20001200000002</v>
      </c>
      <c r="C91">
        <v>277.69000199999999</v>
      </c>
      <c r="D91">
        <v>241.509995</v>
      </c>
      <c r="E91">
        <v>256.82998700000002</v>
      </c>
      <c r="F91">
        <v>252.396759</v>
      </c>
      <c r="G91">
        <v>621372300</v>
      </c>
      <c r="H91" s="2">
        <f t="shared" si="1"/>
        <v>-5.3120388228627122E-2</v>
      </c>
    </row>
    <row r="92" spans="1:8" x14ac:dyDescent="0.3">
      <c r="A92" s="1">
        <v>44743</v>
      </c>
      <c r="B92">
        <v>256.39001500000001</v>
      </c>
      <c r="C92">
        <v>282</v>
      </c>
      <c r="D92">
        <v>245.94000199999999</v>
      </c>
      <c r="E92">
        <v>280.73998999999998</v>
      </c>
      <c r="F92">
        <v>275.89410400000003</v>
      </c>
      <c r="G92">
        <v>534891800</v>
      </c>
      <c r="H92" s="2">
        <f t="shared" si="1"/>
        <v>9.3096857079690246E-2</v>
      </c>
    </row>
    <row r="93" spans="1:8" x14ac:dyDescent="0.3">
      <c r="A93" s="1">
        <v>44774</v>
      </c>
      <c r="B93">
        <v>277.82000699999998</v>
      </c>
      <c r="C93">
        <v>294.17999300000002</v>
      </c>
      <c r="D93">
        <v>260.66000400000001</v>
      </c>
      <c r="E93">
        <v>261.47000100000002</v>
      </c>
      <c r="F93">
        <v>256.95669600000002</v>
      </c>
      <c r="G93">
        <v>477157600</v>
      </c>
      <c r="H93" s="2">
        <f t="shared" si="1"/>
        <v>-6.8640133027271955E-2</v>
      </c>
    </row>
    <row r="94" spans="1:8" x14ac:dyDescent="0.3">
      <c r="A94" s="1">
        <v>44805</v>
      </c>
      <c r="B94">
        <v>258.86999500000002</v>
      </c>
      <c r="C94">
        <v>267.45001200000002</v>
      </c>
      <c r="D94">
        <v>232.729996</v>
      </c>
      <c r="E94">
        <v>232.89999399999999</v>
      </c>
      <c r="F94">
        <v>229.36566199999999</v>
      </c>
      <c r="G94">
        <v>575586600</v>
      </c>
      <c r="H94" s="2">
        <f t="shared" si="1"/>
        <v>-0.1073762016304881</v>
      </c>
    </row>
    <row r="95" spans="1:8" x14ac:dyDescent="0.3">
      <c r="A95" s="1">
        <v>44835</v>
      </c>
      <c r="B95">
        <v>235.41000399999999</v>
      </c>
      <c r="C95">
        <v>251.03999300000001</v>
      </c>
      <c r="D95">
        <v>219.13000500000001</v>
      </c>
      <c r="E95">
        <v>232.13000500000001</v>
      </c>
      <c r="F95">
        <v>228.607361</v>
      </c>
      <c r="G95">
        <v>671225100</v>
      </c>
      <c r="H95" s="2">
        <f t="shared" si="1"/>
        <v>-3.3060790067171819E-3</v>
      </c>
    </row>
    <row r="96" spans="1:8" x14ac:dyDescent="0.3">
      <c r="A96" s="1">
        <v>44866</v>
      </c>
      <c r="B96">
        <v>234.60000600000001</v>
      </c>
      <c r="C96">
        <v>255.33000200000001</v>
      </c>
      <c r="D96">
        <v>213.429993</v>
      </c>
      <c r="E96">
        <v>255.13999899999999</v>
      </c>
      <c r="F96">
        <v>251.26814300000001</v>
      </c>
      <c r="G96">
        <v>615296000</v>
      </c>
      <c r="H96" s="2">
        <f t="shared" si="1"/>
        <v>9.9125338313143865E-2</v>
      </c>
    </row>
    <row r="97" spans="1:8" x14ac:dyDescent="0.3">
      <c r="A97" s="1">
        <v>44896</v>
      </c>
      <c r="B97">
        <v>253.86999499999999</v>
      </c>
      <c r="C97">
        <v>263.92001299999998</v>
      </c>
      <c r="D97">
        <v>233.86999499999999</v>
      </c>
      <c r="E97">
        <v>239.820007</v>
      </c>
      <c r="F97">
        <v>236.846237</v>
      </c>
      <c r="G97">
        <v>591358700</v>
      </c>
      <c r="H97" s="2">
        <f t="shared" si="1"/>
        <v>-5.7396476241717627E-2</v>
      </c>
    </row>
    <row r="98" spans="1:8" x14ac:dyDescent="0.3">
      <c r="A98" s="1">
        <v>44927</v>
      </c>
      <c r="B98">
        <v>243.08000200000001</v>
      </c>
      <c r="C98">
        <v>249.83000200000001</v>
      </c>
      <c r="D98">
        <v>219.35000600000001</v>
      </c>
      <c r="E98">
        <v>247.80999800000001</v>
      </c>
      <c r="F98">
        <v>244.73715200000001</v>
      </c>
      <c r="G98">
        <v>666168100</v>
      </c>
      <c r="H98" s="2">
        <f t="shared" si="1"/>
        <v>3.3316615454608241E-2</v>
      </c>
    </row>
    <row r="99" spans="1:8" x14ac:dyDescent="0.3">
      <c r="A99" s="1">
        <v>44958</v>
      </c>
      <c r="B99">
        <v>248</v>
      </c>
      <c r="C99">
        <v>276.76001000000002</v>
      </c>
      <c r="D99">
        <v>245.470001</v>
      </c>
      <c r="E99">
        <v>249.41999799999999</v>
      </c>
      <c r="F99">
        <v>246.32720900000001</v>
      </c>
      <c r="G99">
        <v>615501000</v>
      </c>
      <c r="H99" s="2">
        <f t="shared" si="1"/>
        <v>6.4969988700367062E-3</v>
      </c>
    </row>
    <row r="100" spans="1:8" x14ac:dyDescent="0.3">
      <c r="A100" s="1">
        <v>44986</v>
      </c>
      <c r="B100">
        <v>250.759995</v>
      </c>
      <c r="C100">
        <v>289.26998900000001</v>
      </c>
      <c r="D100">
        <v>245.61000100000001</v>
      </c>
      <c r="E100">
        <v>288.29998799999998</v>
      </c>
      <c r="F100">
        <v>285.43823200000003</v>
      </c>
      <c r="G100">
        <v>747635000</v>
      </c>
      <c r="H100" s="2">
        <f t="shared" si="1"/>
        <v>0.15877670663657792</v>
      </c>
    </row>
    <row r="101" spans="1:8" x14ac:dyDescent="0.3">
      <c r="A101" s="1">
        <v>45017</v>
      </c>
      <c r="B101">
        <v>286.51998900000001</v>
      </c>
      <c r="C101">
        <v>308.92999300000002</v>
      </c>
      <c r="D101">
        <v>275.36999500000002</v>
      </c>
      <c r="E101">
        <v>307.26001000000002</v>
      </c>
      <c r="F101">
        <v>304.210083</v>
      </c>
      <c r="G101">
        <v>551497100</v>
      </c>
      <c r="H101" s="2">
        <f t="shared" si="1"/>
        <v>6.5765019873020955E-2</v>
      </c>
    </row>
    <row r="102" spans="1:8" x14ac:dyDescent="0.3">
      <c r="A102" s="1">
        <v>45047</v>
      </c>
      <c r="B102">
        <v>306.97000100000002</v>
      </c>
      <c r="C102">
        <v>335.94000199999999</v>
      </c>
      <c r="D102">
        <v>303.39999399999999</v>
      </c>
      <c r="E102">
        <v>328.39001500000001</v>
      </c>
      <c r="F102">
        <v>325.13031000000001</v>
      </c>
      <c r="G102">
        <v>600807200</v>
      </c>
      <c r="H102" s="2">
        <f t="shared" si="1"/>
        <v>6.8769012498510806E-2</v>
      </c>
    </row>
    <row r="103" spans="1:8" x14ac:dyDescent="0.3">
      <c r="A103" s="1">
        <v>45078</v>
      </c>
      <c r="B103">
        <v>325.92999300000002</v>
      </c>
      <c r="C103">
        <v>351.47000100000002</v>
      </c>
      <c r="D103">
        <v>322.5</v>
      </c>
      <c r="E103">
        <v>340.540009</v>
      </c>
      <c r="F103">
        <v>337.89675899999997</v>
      </c>
      <c r="G103">
        <v>547588700</v>
      </c>
      <c r="H103" s="2">
        <f t="shared" si="1"/>
        <v>3.9265637829951829E-2</v>
      </c>
    </row>
    <row r="104" spans="1:8" x14ac:dyDescent="0.3">
      <c r="A104" s="1">
        <v>45108</v>
      </c>
      <c r="B104">
        <v>339.19000199999999</v>
      </c>
      <c r="C104">
        <v>366.77999899999998</v>
      </c>
      <c r="D104">
        <v>327</v>
      </c>
      <c r="E104">
        <v>335.92001299999998</v>
      </c>
      <c r="F104">
        <v>333.31262199999998</v>
      </c>
      <c r="G104">
        <v>666764400</v>
      </c>
      <c r="H104" s="2">
        <f t="shared" si="1"/>
        <v>-1.3566679401029706E-2</v>
      </c>
    </row>
    <row r="105" spans="1:8" x14ac:dyDescent="0.3">
      <c r="A105" s="1">
        <v>45139</v>
      </c>
      <c r="B105">
        <v>335.19000199999999</v>
      </c>
      <c r="C105">
        <v>338.540009</v>
      </c>
      <c r="D105">
        <v>311.54998799999998</v>
      </c>
      <c r="E105">
        <v>327.76001000000002</v>
      </c>
      <c r="F105">
        <v>325.21597300000002</v>
      </c>
      <c r="G105">
        <v>479456700</v>
      </c>
      <c r="H105" s="2">
        <f t="shared" si="1"/>
        <v>-2.429145632534719E-2</v>
      </c>
    </row>
    <row r="106" spans="1:8" x14ac:dyDescent="0.3">
      <c r="A106" s="1">
        <v>45170</v>
      </c>
      <c r="B106">
        <v>331.30999800000001</v>
      </c>
      <c r="C106">
        <v>340.85998499999999</v>
      </c>
      <c r="D106">
        <v>309.45001200000002</v>
      </c>
      <c r="E106">
        <v>315.75</v>
      </c>
      <c r="F106">
        <v>313.96249399999999</v>
      </c>
      <c r="G106">
        <v>416680700</v>
      </c>
      <c r="H106" s="2">
        <f t="shared" si="1"/>
        <v>-3.4603094356623211E-2</v>
      </c>
    </row>
    <row r="107" spans="1:8" x14ac:dyDescent="0.3">
      <c r="A107" s="1">
        <v>45200</v>
      </c>
      <c r="B107">
        <v>316.27999899999998</v>
      </c>
      <c r="C107">
        <v>346.20001200000002</v>
      </c>
      <c r="D107">
        <v>311.209991</v>
      </c>
      <c r="E107">
        <v>338.10998499999999</v>
      </c>
      <c r="F107">
        <v>336.19589200000001</v>
      </c>
      <c r="G107">
        <v>540907000</v>
      </c>
      <c r="H107" s="2">
        <f t="shared" si="1"/>
        <v>7.0815458613346413E-2</v>
      </c>
    </row>
    <row r="108" spans="1:8" x14ac:dyDescent="0.3">
      <c r="A108" s="1">
        <v>45231</v>
      </c>
      <c r="B108">
        <v>339.790009</v>
      </c>
      <c r="C108">
        <v>384.29998799999998</v>
      </c>
      <c r="D108">
        <v>339.64999399999999</v>
      </c>
      <c r="E108">
        <v>378.91000400000001</v>
      </c>
      <c r="F108">
        <v>376.76492300000001</v>
      </c>
      <c r="G108">
        <v>563880300</v>
      </c>
      <c r="H108" s="2">
        <f t="shared" si="1"/>
        <v>0.1206708111710062</v>
      </c>
    </row>
    <row r="109" spans="1:8" x14ac:dyDescent="0.3">
      <c r="A109" s="1">
        <v>45261</v>
      </c>
      <c r="B109">
        <v>376.76001000000002</v>
      </c>
      <c r="C109">
        <v>378.16000400000001</v>
      </c>
      <c r="D109">
        <v>362.89999399999999</v>
      </c>
      <c r="E109">
        <v>376.040009</v>
      </c>
      <c r="F109">
        <v>374.670074</v>
      </c>
      <c r="G109">
        <v>522003700</v>
      </c>
      <c r="H109" s="2">
        <f t="shared" si="1"/>
        <v>-5.5600956249316517E-3</v>
      </c>
    </row>
    <row r="110" spans="1:8" x14ac:dyDescent="0.3">
      <c r="A110" s="1">
        <v>45292</v>
      </c>
      <c r="B110">
        <v>373.85998499999999</v>
      </c>
      <c r="C110">
        <v>415.32000699999998</v>
      </c>
      <c r="D110">
        <v>366.5</v>
      </c>
      <c r="E110">
        <v>397.57998700000002</v>
      </c>
      <c r="F110">
        <v>396.13162199999999</v>
      </c>
      <c r="G110">
        <v>528399000</v>
      </c>
      <c r="H110" s="2">
        <f t="shared" si="1"/>
        <v>5.7281190811092092E-2</v>
      </c>
    </row>
    <row r="111" spans="1:8" x14ac:dyDescent="0.3">
      <c r="A111" s="1">
        <v>45323</v>
      </c>
      <c r="B111">
        <v>401.82998700000002</v>
      </c>
      <c r="C111">
        <v>420.82000699999998</v>
      </c>
      <c r="D111">
        <v>397.22000100000002</v>
      </c>
      <c r="E111">
        <v>413.64001500000001</v>
      </c>
      <c r="F111">
        <v>412.13311800000002</v>
      </c>
      <c r="G111">
        <v>444176300</v>
      </c>
      <c r="H111" s="2">
        <f t="shared" si="1"/>
        <v>4.0394391942787218E-2</v>
      </c>
    </row>
    <row r="112" spans="1:8" x14ac:dyDescent="0.3">
      <c r="A112" s="1">
        <v>45352</v>
      </c>
      <c r="B112">
        <v>411.26998900000001</v>
      </c>
      <c r="C112">
        <v>430.82000699999998</v>
      </c>
      <c r="D112">
        <v>398.39001500000001</v>
      </c>
      <c r="E112">
        <v>420.72000100000002</v>
      </c>
      <c r="F112">
        <v>419.96249399999999</v>
      </c>
      <c r="G112">
        <v>426349600</v>
      </c>
      <c r="H112" s="2">
        <f t="shared" si="1"/>
        <v>1.8997201773044523E-2</v>
      </c>
    </row>
    <row r="113" spans="1:8" x14ac:dyDescent="0.3">
      <c r="A113" s="1">
        <v>45383</v>
      </c>
      <c r="B113">
        <v>423.95001200000002</v>
      </c>
      <c r="C113">
        <v>429.36999500000002</v>
      </c>
      <c r="D113">
        <v>388.02999899999998</v>
      </c>
      <c r="E113">
        <v>389.32998700000002</v>
      </c>
      <c r="F113">
        <v>388.62899800000002</v>
      </c>
      <c r="G113">
        <v>440777700</v>
      </c>
      <c r="H113" s="2">
        <f t="shared" si="1"/>
        <v>-7.4610224597818423E-2</v>
      </c>
    </row>
    <row r="114" spans="1:8" x14ac:dyDescent="0.3">
      <c r="A114" s="1">
        <v>45413</v>
      </c>
      <c r="B114">
        <v>392.60998499999999</v>
      </c>
      <c r="C114">
        <v>423.80999800000001</v>
      </c>
      <c r="D114">
        <v>390.30999800000001</v>
      </c>
      <c r="E114">
        <v>423.07998700000002</v>
      </c>
      <c r="F114">
        <v>422.31823700000001</v>
      </c>
      <c r="G114">
        <v>188384700</v>
      </c>
      <c r="H114" s="2">
        <f t="shared" si="1"/>
        <v>8.6687404113884425E-2</v>
      </c>
    </row>
    <row r="115" spans="1:8" x14ac:dyDescent="0.3">
      <c r="A115" s="1">
        <v>45428</v>
      </c>
      <c r="B115">
        <v>421.89999399999999</v>
      </c>
      <c r="C115">
        <v>425.42001299999998</v>
      </c>
      <c r="D115">
        <v>421.76998900000001</v>
      </c>
      <c r="E115">
        <v>424.53008999999997</v>
      </c>
      <c r="F115">
        <v>424.53008999999997</v>
      </c>
      <c r="G115">
        <v>3360102</v>
      </c>
      <c r="H115" s="2">
        <f t="shared" si="1"/>
        <v>5.2374082059827368E-3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F897B-7968-46DC-A1EF-4A90E6783C45}">
  <dimension ref="A1:H115"/>
  <sheetViews>
    <sheetView workbookViewId="0">
      <selection activeCell="L14" sqref="L14"/>
    </sheetView>
  </sheetViews>
  <sheetFormatPr defaultRowHeight="14.4" x14ac:dyDescent="0.3"/>
  <cols>
    <col min="1" max="1" width="10.33203125" bestFit="1" customWidth="1"/>
    <col min="2" max="5" width="10" bestFit="1" customWidth="1"/>
    <col min="6" max="7" width="11" bestFit="1" customWidth="1"/>
  </cols>
  <sheetData>
    <row r="1" spans="1:8" x14ac:dyDescent="0.3">
      <c r="A1" t="s">
        <v>8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11</v>
      </c>
    </row>
    <row r="2" spans="1:8" x14ac:dyDescent="0.3">
      <c r="A2" s="1">
        <v>42005</v>
      </c>
      <c r="B2">
        <v>28.756665999999999</v>
      </c>
      <c r="C2">
        <v>30.323333999999999</v>
      </c>
      <c r="D2">
        <v>28.299999</v>
      </c>
      <c r="E2">
        <v>28.326668000000002</v>
      </c>
      <c r="F2">
        <v>23.388736999999999</v>
      </c>
      <c r="G2">
        <v>476783100</v>
      </c>
    </row>
    <row r="3" spans="1:8" x14ac:dyDescent="0.3">
      <c r="A3" s="1">
        <v>42036</v>
      </c>
      <c r="B3">
        <v>28.263331999999998</v>
      </c>
      <c r="C3">
        <v>29.333331999999999</v>
      </c>
      <c r="D3">
        <v>27.516666000000001</v>
      </c>
      <c r="E3">
        <v>27.976666999999999</v>
      </c>
      <c r="F3">
        <v>23.099754000000001</v>
      </c>
      <c r="G3">
        <v>415621500</v>
      </c>
      <c r="H3" s="2">
        <f t="shared" ref="H3:H65" si="0">(F3-F2)/F2</f>
        <v>-1.2355647934302662E-2</v>
      </c>
    </row>
    <row r="4" spans="1:8" x14ac:dyDescent="0.3">
      <c r="A4" s="1">
        <v>42064</v>
      </c>
      <c r="B4">
        <v>27.976666999999999</v>
      </c>
      <c r="C4">
        <v>28</v>
      </c>
      <c r="D4">
        <v>26.846665999999999</v>
      </c>
      <c r="E4">
        <v>27.416668000000001</v>
      </c>
      <c r="F4">
        <v>22.637367000000001</v>
      </c>
      <c r="G4">
        <v>427599000</v>
      </c>
      <c r="H4" s="2">
        <f t="shared" si="0"/>
        <v>-2.0016966414447515E-2</v>
      </c>
    </row>
    <row r="5" spans="1:8" x14ac:dyDescent="0.3">
      <c r="A5" s="1">
        <v>42095</v>
      </c>
      <c r="B5">
        <v>27.426666000000001</v>
      </c>
      <c r="C5">
        <v>27.426666000000001</v>
      </c>
      <c r="D5">
        <v>25.85</v>
      </c>
      <c r="E5">
        <v>26.016666000000001</v>
      </c>
      <c r="F5">
        <v>21.610443</v>
      </c>
      <c r="G5">
        <v>431055300</v>
      </c>
      <c r="H5" s="2">
        <f t="shared" si="0"/>
        <v>-4.5364109704101235E-2</v>
      </c>
    </row>
    <row r="6" spans="1:8" x14ac:dyDescent="0.3">
      <c r="A6" s="1">
        <v>42125</v>
      </c>
      <c r="B6">
        <v>26.066668</v>
      </c>
      <c r="C6">
        <v>26.646667000000001</v>
      </c>
      <c r="D6">
        <v>24.716667000000001</v>
      </c>
      <c r="E6">
        <v>24.756665999999999</v>
      </c>
      <c r="F6">
        <v>20.563839000000002</v>
      </c>
      <c r="G6">
        <v>453377100</v>
      </c>
      <c r="H6" s="2">
        <f t="shared" si="0"/>
        <v>-4.8430474099952443E-2</v>
      </c>
    </row>
    <row r="7" spans="1:8" x14ac:dyDescent="0.3">
      <c r="A7" s="1">
        <v>42156</v>
      </c>
      <c r="B7">
        <v>24.896667000000001</v>
      </c>
      <c r="C7">
        <v>25.066668</v>
      </c>
      <c r="D7">
        <v>23.593332</v>
      </c>
      <c r="E7">
        <v>23.643332999999998</v>
      </c>
      <c r="F7">
        <v>19.763016</v>
      </c>
      <c r="G7">
        <v>529697100</v>
      </c>
      <c r="H7" s="2">
        <f t="shared" si="0"/>
        <v>-3.8943263463597486E-2</v>
      </c>
    </row>
    <row r="8" spans="1:8" x14ac:dyDescent="0.3">
      <c r="A8" s="1">
        <v>42186</v>
      </c>
      <c r="B8">
        <v>23.866667</v>
      </c>
      <c r="C8">
        <v>24.713332999999999</v>
      </c>
      <c r="D8">
        <v>23.453333000000001</v>
      </c>
      <c r="E8">
        <v>23.993334000000001</v>
      </c>
      <c r="F8">
        <v>20.055565000000001</v>
      </c>
      <c r="G8">
        <v>451261200</v>
      </c>
      <c r="H8" s="2">
        <f t="shared" si="0"/>
        <v>1.4802851953365876E-2</v>
      </c>
    </row>
    <row r="9" spans="1:8" x14ac:dyDescent="0.3">
      <c r="A9" s="1">
        <v>42217</v>
      </c>
      <c r="B9">
        <v>23.946667000000001</v>
      </c>
      <c r="C9">
        <v>24.563334000000001</v>
      </c>
      <c r="D9">
        <v>20.5</v>
      </c>
      <c r="E9">
        <v>21.576668000000002</v>
      </c>
      <c r="F9">
        <v>18.035513000000002</v>
      </c>
      <c r="G9">
        <v>682083300</v>
      </c>
      <c r="H9" s="2">
        <f t="shared" si="0"/>
        <v>-0.1007227669726582</v>
      </c>
    </row>
    <row r="10" spans="1:8" x14ac:dyDescent="0.3">
      <c r="A10" s="1">
        <v>42248</v>
      </c>
      <c r="B10">
        <v>21.266666000000001</v>
      </c>
      <c r="C10">
        <v>22.336666000000001</v>
      </c>
      <c r="D10">
        <v>20.973333</v>
      </c>
      <c r="E10">
        <v>21.613333000000001</v>
      </c>
      <c r="F10">
        <v>18.189527999999999</v>
      </c>
      <c r="G10">
        <v>572442000</v>
      </c>
      <c r="H10" s="2">
        <f t="shared" si="0"/>
        <v>8.5395408492121936E-3</v>
      </c>
    </row>
    <row r="11" spans="1:8" x14ac:dyDescent="0.3">
      <c r="A11" s="1">
        <v>42278</v>
      </c>
      <c r="B11">
        <v>21.586666000000001</v>
      </c>
      <c r="C11">
        <v>22.65</v>
      </c>
      <c r="D11">
        <v>19.053332999999999</v>
      </c>
      <c r="E11">
        <v>19.079999999999998</v>
      </c>
      <c r="F11">
        <v>16.057507000000001</v>
      </c>
      <c r="G11">
        <v>1041507000</v>
      </c>
      <c r="H11" s="2">
        <f t="shared" si="0"/>
        <v>-0.11721145265561582</v>
      </c>
    </row>
    <row r="12" spans="1:8" x14ac:dyDescent="0.3">
      <c r="A12" s="1">
        <v>42309</v>
      </c>
      <c r="B12">
        <v>19.096665999999999</v>
      </c>
      <c r="C12">
        <v>20.49</v>
      </c>
      <c r="D12">
        <v>18.766666000000001</v>
      </c>
      <c r="E12">
        <v>19.613333000000001</v>
      </c>
      <c r="F12">
        <v>16.506350999999999</v>
      </c>
      <c r="G12">
        <v>673888200</v>
      </c>
      <c r="H12" s="2">
        <f t="shared" si="0"/>
        <v>2.7952284249354371E-2</v>
      </c>
    </row>
    <row r="13" spans="1:8" x14ac:dyDescent="0.3">
      <c r="A13" s="1">
        <v>42339</v>
      </c>
      <c r="B13">
        <v>19.709999</v>
      </c>
      <c r="C13">
        <v>20.623332999999999</v>
      </c>
      <c r="D13">
        <v>19.440000999999999</v>
      </c>
      <c r="E13">
        <v>20.433332</v>
      </c>
      <c r="F13">
        <v>17.196456999999999</v>
      </c>
      <c r="G13">
        <v>680925300</v>
      </c>
      <c r="H13" s="2">
        <f t="shared" si="0"/>
        <v>4.1808513583650328E-2</v>
      </c>
    </row>
    <row r="14" spans="1:8" x14ac:dyDescent="0.3">
      <c r="A14" s="1">
        <v>42370</v>
      </c>
      <c r="B14">
        <v>20.166668000000001</v>
      </c>
      <c r="C14">
        <v>22.176666000000001</v>
      </c>
      <c r="D14">
        <v>20.066668</v>
      </c>
      <c r="E14">
        <v>22.120000999999998</v>
      </c>
      <c r="F14">
        <v>18.771868000000001</v>
      </c>
      <c r="G14">
        <v>793997400</v>
      </c>
      <c r="H14" s="2">
        <f t="shared" si="0"/>
        <v>9.1612533907420732E-2</v>
      </c>
    </row>
    <row r="15" spans="1:8" x14ac:dyDescent="0.3">
      <c r="A15" s="1">
        <v>42401</v>
      </c>
      <c r="B15">
        <v>21.969999000000001</v>
      </c>
      <c r="C15">
        <v>22.733333999999999</v>
      </c>
      <c r="D15">
        <v>20.783332999999999</v>
      </c>
      <c r="E15">
        <v>22.113333000000001</v>
      </c>
      <c r="F15">
        <v>18.766204999999999</v>
      </c>
      <c r="G15">
        <v>789308100</v>
      </c>
      <c r="H15" s="2">
        <f t="shared" si="0"/>
        <v>-3.0167482532915591E-4</v>
      </c>
    </row>
    <row r="16" spans="1:8" x14ac:dyDescent="0.3">
      <c r="A16" s="1">
        <v>42430</v>
      </c>
      <c r="B16">
        <v>22.216667000000001</v>
      </c>
      <c r="C16">
        <v>23.063334000000001</v>
      </c>
      <c r="D16">
        <v>21.626667000000001</v>
      </c>
      <c r="E16">
        <v>22.83</v>
      </c>
      <c r="F16">
        <v>19.374403000000001</v>
      </c>
      <c r="G16">
        <v>609323700</v>
      </c>
      <c r="H16" s="2">
        <f t="shared" si="0"/>
        <v>3.2409216461186566E-2</v>
      </c>
    </row>
    <row r="17" spans="1:8" x14ac:dyDescent="0.3">
      <c r="A17" s="1">
        <v>42461</v>
      </c>
      <c r="B17">
        <v>22.673331999999998</v>
      </c>
      <c r="C17">
        <v>23.360001</v>
      </c>
      <c r="D17">
        <v>22.120000999999998</v>
      </c>
      <c r="E17">
        <v>22.290001</v>
      </c>
      <c r="F17">
        <v>19.056166000000001</v>
      </c>
      <c r="G17">
        <v>423760800</v>
      </c>
      <c r="H17" s="2">
        <f t="shared" si="0"/>
        <v>-1.6425641605576174E-2</v>
      </c>
    </row>
    <row r="18" spans="1:8" x14ac:dyDescent="0.3">
      <c r="A18" s="1">
        <v>42491</v>
      </c>
      <c r="B18">
        <v>22.206666999999999</v>
      </c>
      <c r="C18">
        <v>23.793333000000001</v>
      </c>
      <c r="D18">
        <v>20.906668</v>
      </c>
      <c r="E18">
        <v>23.593332</v>
      </c>
      <c r="F18">
        <v>20.170411999999999</v>
      </c>
      <c r="G18">
        <v>698928600</v>
      </c>
      <c r="H18" s="2">
        <f t="shared" si="0"/>
        <v>5.8471677881059482E-2</v>
      </c>
    </row>
    <row r="19" spans="1:8" x14ac:dyDescent="0.3">
      <c r="A19" s="1">
        <v>42522</v>
      </c>
      <c r="B19">
        <v>23.5</v>
      </c>
      <c r="C19">
        <v>24.396667000000001</v>
      </c>
      <c r="D19">
        <v>23.383333</v>
      </c>
      <c r="E19">
        <v>24.34</v>
      </c>
      <c r="F19">
        <v>20.961110999999999</v>
      </c>
      <c r="G19">
        <v>557758800</v>
      </c>
      <c r="H19" s="2">
        <f t="shared" si="0"/>
        <v>3.920093451735146E-2</v>
      </c>
    </row>
    <row r="20" spans="1:8" x14ac:dyDescent="0.3">
      <c r="A20" s="1">
        <v>42552</v>
      </c>
      <c r="B20">
        <v>24.376667000000001</v>
      </c>
      <c r="C20">
        <v>24.783332999999999</v>
      </c>
      <c r="D20">
        <v>24.139999</v>
      </c>
      <c r="E20">
        <v>24.323333999999999</v>
      </c>
      <c r="F20">
        <v>20.946753000000001</v>
      </c>
      <c r="G20">
        <v>413170500</v>
      </c>
      <c r="H20" s="2">
        <f t="shared" si="0"/>
        <v>-6.8498277596058116E-4</v>
      </c>
    </row>
    <row r="21" spans="1:8" x14ac:dyDescent="0.3">
      <c r="A21" s="1">
        <v>42583</v>
      </c>
      <c r="B21">
        <v>24.27</v>
      </c>
      <c r="C21">
        <v>25.063334000000001</v>
      </c>
      <c r="D21">
        <v>23.629999000000002</v>
      </c>
      <c r="E21">
        <v>23.813334000000001</v>
      </c>
      <c r="F21">
        <v>20.507556999999998</v>
      </c>
      <c r="G21">
        <v>637380000</v>
      </c>
      <c r="H21" s="2">
        <f t="shared" si="0"/>
        <v>-2.0967259221512879E-2</v>
      </c>
    </row>
    <row r="22" spans="1:8" x14ac:dyDescent="0.3">
      <c r="A22" s="1">
        <v>42614</v>
      </c>
      <c r="B22">
        <v>23.856667000000002</v>
      </c>
      <c r="C22">
        <v>24.396667000000001</v>
      </c>
      <c r="D22">
        <v>23.433332</v>
      </c>
      <c r="E22">
        <v>24.040001</v>
      </c>
      <c r="F22">
        <v>20.844477000000001</v>
      </c>
      <c r="G22">
        <v>530951700</v>
      </c>
      <c r="H22" s="2">
        <f t="shared" si="0"/>
        <v>1.6429065636633499E-2</v>
      </c>
    </row>
    <row r="23" spans="1:8" x14ac:dyDescent="0.3">
      <c r="A23" s="1">
        <v>42644</v>
      </c>
      <c r="B23">
        <v>23.943332999999999</v>
      </c>
      <c r="C23">
        <v>24.190000999999999</v>
      </c>
      <c r="D23">
        <v>22.356667000000002</v>
      </c>
      <c r="E23">
        <v>23.34</v>
      </c>
      <c r="F23">
        <v>20.237525999999999</v>
      </c>
      <c r="G23">
        <v>512148600</v>
      </c>
      <c r="H23" s="2">
        <f t="shared" si="0"/>
        <v>-2.9118072859299956E-2</v>
      </c>
    </row>
    <row r="24" spans="1:8" x14ac:dyDescent="0.3">
      <c r="A24" s="1">
        <v>42675</v>
      </c>
      <c r="B24">
        <v>23.326668000000002</v>
      </c>
      <c r="C24">
        <v>24.030000999999999</v>
      </c>
      <c r="D24">
        <v>22.706666999999999</v>
      </c>
      <c r="E24">
        <v>23.476666999999999</v>
      </c>
      <c r="F24">
        <v>20.356021999999999</v>
      </c>
      <c r="G24">
        <v>631111800</v>
      </c>
      <c r="H24" s="2">
        <f t="shared" si="0"/>
        <v>5.8552611618633808E-3</v>
      </c>
    </row>
    <row r="25" spans="1:8" x14ac:dyDescent="0.3">
      <c r="A25" s="1">
        <v>42705</v>
      </c>
      <c r="B25">
        <v>23.416668000000001</v>
      </c>
      <c r="C25">
        <v>24.16</v>
      </c>
      <c r="D25">
        <v>22.943332999999999</v>
      </c>
      <c r="E25">
        <v>23.040001</v>
      </c>
      <c r="F25">
        <v>19.977405999999998</v>
      </c>
      <c r="G25">
        <v>487582500</v>
      </c>
      <c r="H25" s="2">
        <f t="shared" si="0"/>
        <v>-1.8599704794974234E-2</v>
      </c>
    </row>
    <row r="26" spans="1:8" x14ac:dyDescent="0.3">
      <c r="A26" s="1">
        <v>42736</v>
      </c>
      <c r="B26">
        <v>23.08</v>
      </c>
      <c r="C26">
        <v>23.209999</v>
      </c>
      <c r="D26">
        <v>21.76</v>
      </c>
      <c r="E26">
        <v>22.246668</v>
      </c>
      <c r="F26">
        <v>19.427586000000002</v>
      </c>
      <c r="G26">
        <v>545484000</v>
      </c>
      <c r="H26" s="2">
        <f t="shared" si="0"/>
        <v>-2.7522091707001244E-2</v>
      </c>
    </row>
    <row r="27" spans="1:8" x14ac:dyDescent="0.3">
      <c r="A27" s="1">
        <v>42767</v>
      </c>
      <c r="B27">
        <v>22.153334000000001</v>
      </c>
      <c r="C27">
        <v>24.266666000000001</v>
      </c>
      <c r="D27">
        <v>22.013331999999998</v>
      </c>
      <c r="E27">
        <v>23.643332999999998</v>
      </c>
      <c r="F27">
        <v>20.647269999999999</v>
      </c>
      <c r="G27">
        <v>623902200</v>
      </c>
      <c r="H27" s="2">
        <f t="shared" si="0"/>
        <v>6.2781037232314776E-2</v>
      </c>
    </row>
    <row r="28" spans="1:8" x14ac:dyDescent="0.3">
      <c r="A28" s="1">
        <v>42795</v>
      </c>
      <c r="B28">
        <v>23.656668</v>
      </c>
      <c r="C28">
        <v>24.186665999999999</v>
      </c>
      <c r="D28">
        <v>23.110001</v>
      </c>
      <c r="E28">
        <v>24.026667</v>
      </c>
      <c r="F28">
        <v>20.982018</v>
      </c>
      <c r="G28">
        <v>573309300</v>
      </c>
      <c r="H28" s="2">
        <f t="shared" si="0"/>
        <v>1.6212700274661065E-2</v>
      </c>
    </row>
    <row r="29" spans="1:8" x14ac:dyDescent="0.3">
      <c r="A29" s="1">
        <v>42826</v>
      </c>
      <c r="B29">
        <v>24.026667</v>
      </c>
      <c r="C29">
        <v>25.256665999999999</v>
      </c>
      <c r="D29">
        <v>23.793333000000001</v>
      </c>
      <c r="E29">
        <v>25.059999000000001</v>
      </c>
      <c r="F29">
        <v>22.045325999999999</v>
      </c>
      <c r="G29">
        <v>382581600</v>
      </c>
      <c r="H29" s="2">
        <f t="shared" si="0"/>
        <v>5.0677108369652495E-2</v>
      </c>
    </row>
    <row r="30" spans="1:8" x14ac:dyDescent="0.3">
      <c r="A30" s="1">
        <v>42856</v>
      </c>
      <c r="B30">
        <v>25.030000999999999</v>
      </c>
      <c r="C30">
        <v>26.48</v>
      </c>
      <c r="D30">
        <v>24.986668000000002</v>
      </c>
      <c r="E30">
        <v>26.200001</v>
      </c>
      <c r="F30">
        <v>23.048185</v>
      </c>
      <c r="G30">
        <v>547037400</v>
      </c>
      <c r="H30" s="2">
        <f t="shared" si="0"/>
        <v>4.5490776593641702E-2</v>
      </c>
    </row>
    <row r="31" spans="1:8" x14ac:dyDescent="0.3">
      <c r="A31" s="1">
        <v>42887</v>
      </c>
      <c r="B31">
        <v>26.213332999999999</v>
      </c>
      <c r="C31">
        <v>26.823333999999999</v>
      </c>
      <c r="D31">
        <v>24.43</v>
      </c>
      <c r="E31">
        <v>25.226666999999999</v>
      </c>
      <c r="F31">
        <v>22.340454000000001</v>
      </c>
      <c r="G31">
        <v>742562100</v>
      </c>
      <c r="H31" s="2">
        <f t="shared" si="0"/>
        <v>-3.0706582752611497E-2</v>
      </c>
    </row>
    <row r="32" spans="1:8" x14ac:dyDescent="0.3">
      <c r="A32" s="1">
        <v>42917</v>
      </c>
      <c r="B32">
        <v>25.280000999999999</v>
      </c>
      <c r="C32">
        <v>26.780000999999999</v>
      </c>
      <c r="D32">
        <v>24.376667000000001</v>
      </c>
      <c r="E32">
        <v>26.663333999999999</v>
      </c>
      <c r="F32">
        <v>23.612753000000001</v>
      </c>
      <c r="G32">
        <v>430344300</v>
      </c>
      <c r="H32" s="2">
        <f t="shared" si="0"/>
        <v>5.6950454095516599E-2</v>
      </c>
    </row>
    <row r="33" spans="1:8" x14ac:dyDescent="0.3">
      <c r="A33" s="1">
        <v>42948</v>
      </c>
      <c r="B33">
        <v>26.75</v>
      </c>
      <c r="C33">
        <v>27.33</v>
      </c>
      <c r="D33">
        <v>25.833331999999999</v>
      </c>
      <c r="E33">
        <v>26.023333000000001</v>
      </c>
      <c r="F33">
        <v>23.045973</v>
      </c>
      <c r="G33">
        <v>610958100</v>
      </c>
      <c r="H33" s="2">
        <f t="shared" si="0"/>
        <v>-2.400313085051969E-2</v>
      </c>
    </row>
    <row r="34" spans="1:8" x14ac:dyDescent="0.3">
      <c r="A34" s="1">
        <v>42979</v>
      </c>
      <c r="B34">
        <v>26.103332999999999</v>
      </c>
      <c r="C34">
        <v>27.040001</v>
      </c>
      <c r="D34">
        <v>25.91</v>
      </c>
      <c r="E34">
        <v>26.046666999999999</v>
      </c>
      <c r="F34">
        <v>23.211725000000001</v>
      </c>
      <c r="G34">
        <v>483460800</v>
      </c>
      <c r="H34" s="2">
        <f t="shared" si="0"/>
        <v>7.192232673361252E-3</v>
      </c>
    </row>
    <row r="35" spans="1:8" x14ac:dyDescent="0.3">
      <c r="A35" s="1">
        <v>43009</v>
      </c>
      <c r="B35">
        <v>25.966667000000001</v>
      </c>
      <c r="C35">
        <v>29.703333000000001</v>
      </c>
      <c r="D35">
        <v>25.833331999999999</v>
      </c>
      <c r="E35">
        <v>29.103332999999999</v>
      </c>
      <c r="F35">
        <v>25.935703</v>
      </c>
      <c r="G35">
        <v>596325300</v>
      </c>
      <c r="H35" s="2">
        <f t="shared" si="0"/>
        <v>0.11735353576694532</v>
      </c>
    </row>
    <row r="36" spans="1:8" x14ac:dyDescent="0.3">
      <c r="A36" s="1">
        <v>43040</v>
      </c>
      <c r="B36">
        <v>29.023333000000001</v>
      </c>
      <c r="C36">
        <v>33.376666999999998</v>
      </c>
      <c r="D36">
        <v>29</v>
      </c>
      <c r="E36">
        <v>32.409999999999997</v>
      </c>
      <c r="F36">
        <v>28.882473000000001</v>
      </c>
      <c r="G36">
        <v>668109300</v>
      </c>
      <c r="H36" s="2">
        <f t="shared" si="0"/>
        <v>0.11361828133210813</v>
      </c>
    </row>
    <row r="37" spans="1:8" x14ac:dyDescent="0.3">
      <c r="A37" s="1">
        <v>43070</v>
      </c>
      <c r="B37">
        <v>32.536667000000001</v>
      </c>
      <c r="C37">
        <v>33.303333000000002</v>
      </c>
      <c r="D37">
        <v>32.046664999999997</v>
      </c>
      <c r="E37">
        <v>32.916668000000001</v>
      </c>
      <c r="F37">
        <v>29.33399</v>
      </c>
      <c r="G37">
        <v>500322300</v>
      </c>
      <c r="H37" s="2">
        <f t="shared" si="0"/>
        <v>1.5632906503539327E-2</v>
      </c>
    </row>
    <row r="38" spans="1:8" x14ac:dyDescent="0.3">
      <c r="A38" s="1">
        <v>43101</v>
      </c>
      <c r="B38">
        <v>33.099997999999999</v>
      </c>
      <c r="C38">
        <v>36.659999999999997</v>
      </c>
      <c r="D38">
        <v>32.840000000000003</v>
      </c>
      <c r="E38">
        <v>35.533332999999999</v>
      </c>
      <c r="F38">
        <v>31.832733000000001</v>
      </c>
      <c r="G38">
        <v>509083800</v>
      </c>
      <c r="H38" s="2">
        <f t="shared" si="0"/>
        <v>8.518251352782219E-2</v>
      </c>
    </row>
    <row r="39" spans="1:8" x14ac:dyDescent="0.3">
      <c r="A39" s="1">
        <v>43132</v>
      </c>
      <c r="B39">
        <v>35.32</v>
      </c>
      <c r="C39">
        <v>35.520000000000003</v>
      </c>
      <c r="D39">
        <v>30</v>
      </c>
      <c r="E39">
        <v>30.003332</v>
      </c>
      <c r="F39">
        <v>26.878658000000001</v>
      </c>
      <c r="G39">
        <v>922598100</v>
      </c>
      <c r="H39" s="2">
        <f t="shared" si="0"/>
        <v>-0.15562832760856568</v>
      </c>
    </row>
    <row r="40" spans="1:8" x14ac:dyDescent="0.3">
      <c r="A40" s="1">
        <v>43160</v>
      </c>
      <c r="B40">
        <v>30.056667000000001</v>
      </c>
      <c r="C40">
        <v>30.166668000000001</v>
      </c>
      <c r="D40">
        <v>28.426666000000001</v>
      </c>
      <c r="E40">
        <v>29.656668</v>
      </c>
      <c r="F40">
        <v>26.568097999999999</v>
      </c>
      <c r="G40">
        <v>768009000</v>
      </c>
      <c r="H40" s="2">
        <f t="shared" si="0"/>
        <v>-1.155414827630168E-2</v>
      </c>
    </row>
    <row r="41" spans="1:8" x14ac:dyDescent="0.3">
      <c r="A41" s="1">
        <v>43191</v>
      </c>
      <c r="B41">
        <v>29.333331999999999</v>
      </c>
      <c r="C41">
        <v>29.886666999999999</v>
      </c>
      <c r="D41">
        <v>28.280000999999999</v>
      </c>
      <c r="E41">
        <v>29.486668000000002</v>
      </c>
      <c r="F41">
        <v>26.573288000000002</v>
      </c>
      <c r="G41">
        <v>490745400</v>
      </c>
      <c r="H41" s="2">
        <f t="shared" si="0"/>
        <v>1.9534706624472968E-4</v>
      </c>
    </row>
    <row r="42" spans="1:8" x14ac:dyDescent="0.3">
      <c r="A42" s="1">
        <v>43221</v>
      </c>
      <c r="B42">
        <v>29.223333</v>
      </c>
      <c r="C42">
        <v>29.366667</v>
      </c>
      <c r="D42">
        <v>27.26</v>
      </c>
      <c r="E42">
        <v>27.513331999999998</v>
      </c>
      <c r="F42">
        <v>24.794930999999998</v>
      </c>
      <c r="G42">
        <v>745449900</v>
      </c>
      <c r="H42" s="2">
        <f t="shared" si="0"/>
        <v>-6.6922730826535395E-2</v>
      </c>
    </row>
    <row r="43" spans="1:8" x14ac:dyDescent="0.3">
      <c r="A43" s="1">
        <v>43252</v>
      </c>
      <c r="B43">
        <v>27.68</v>
      </c>
      <c r="C43">
        <v>29.163333999999999</v>
      </c>
      <c r="D43">
        <v>27.456666999999999</v>
      </c>
      <c r="E43">
        <v>28.549999</v>
      </c>
      <c r="F43">
        <v>25.891264</v>
      </c>
      <c r="G43">
        <v>556858200</v>
      </c>
      <c r="H43" s="2">
        <f t="shared" si="0"/>
        <v>4.4216013345631064E-2</v>
      </c>
    </row>
    <row r="44" spans="1:8" x14ac:dyDescent="0.3">
      <c r="A44" s="1">
        <v>43282</v>
      </c>
      <c r="B44">
        <v>28.549999</v>
      </c>
      <c r="C44">
        <v>29.886666999999999</v>
      </c>
      <c r="D44">
        <v>27.799999</v>
      </c>
      <c r="E44">
        <v>29.743334000000001</v>
      </c>
      <c r="F44">
        <v>26.973469000000001</v>
      </c>
      <c r="G44">
        <v>352790700</v>
      </c>
      <c r="H44" s="2">
        <f t="shared" si="0"/>
        <v>4.1798075211778071E-2</v>
      </c>
    </row>
    <row r="45" spans="1:8" x14ac:dyDescent="0.3">
      <c r="A45" s="1">
        <v>43313</v>
      </c>
      <c r="B45">
        <v>29.620000999999998</v>
      </c>
      <c r="C45">
        <v>33.403331999999999</v>
      </c>
      <c r="D45">
        <v>29.206666999999999</v>
      </c>
      <c r="E45">
        <v>31.953333000000001</v>
      </c>
      <c r="F45">
        <v>28.977654999999999</v>
      </c>
      <c r="G45">
        <v>616978500</v>
      </c>
      <c r="H45" s="2">
        <f t="shared" si="0"/>
        <v>7.4302122578300808E-2</v>
      </c>
    </row>
    <row r="46" spans="1:8" x14ac:dyDescent="0.3">
      <c r="A46" s="1">
        <v>43344</v>
      </c>
      <c r="B46">
        <v>31.933332</v>
      </c>
      <c r="C46">
        <v>32.553333000000002</v>
      </c>
      <c r="D46">
        <v>31.23</v>
      </c>
      <c r="E46">
        <v>31.303332999999999</v>
      </c>
      <c r="F46">
        <v>28.553072</v>
      </c>
      <c r="G46">
        <v>381637500</v>
      </c>
      <c r="H46" s="2">
        <f t="shared" si="0"/>
        <v>-1.465208278585684E-2</v>
      </c>
    </row>
    <row r="47" spans="1:8" x14ac:dyDescent="0.3">
      <c r="A47" s="1">
        <v>43374</v>
      </c>
      <c r="B47">
        <v>31.43</v>
      </c>
      <c r="C47">
        <v>34.200001</v>
      </c>
      <c r="D47">
        <v>30.963332999999999</v>
      </c>
      <c r="E47">
        <v>33.426665999999997</v>
      </c>
      <c r="F47">
        <v>30.489847000000001</v>
      </c>
      <c r="G47">
        <v>649263000</v>
      </c>
      <c r="H47" s="2">
        <f t="shared" si="0"/>
        <v>6.7830704871265718E-2</v>
      </c>
    </row>
    <row r="48" spans="1:8" x14ac:dyDescent="0.3">
      <c r="A48" s="1">
        <v>43405</v>
      </c>
      <c r="B48">
        <v>33.32</v>
      </c>
      <c r="C48">
        <v>35.403331999999999</v>
      </c>
      <c r="D48">
        <v>31.103332999999999</v>
      </c>
      <c r="E48">
        <v>32.549999</v>
      </c>
      <c r="F48">
        <v>29.690203</v>
      </c>
      <c r="G48">
        <v>575809800</v>
      </c>
      <c r="H48" s="2">
        <f t="shared" si="0"/>
        <v>-2.622656650261317E-2</v>
      </c>
    </row>
    <row r="49" spans="1:8" x14ac:dyDescent="0.3">
      <c r="A49" s="1">
        <v>43435</v>
      </c>
      <c r="B49">
        <v>32.673332000000002</v>
      </c>
      <c r="C49">
        <v>33.196666999999998</v>
      </c>
      <c r="D49">
        <v>28.593332</v>
      </c>
      <c r="E49">
        <v>31.049999</v>
      </c>
      <c r="F49">
        <v>28.321991000000001</v>
      </c>
      <c r="G49">
        <v>558935400</v>
      </c>
      <c r="H49" s="2">
        <f t="shared" si="0"/>
        <v>-4.608294527322699E-2</v>
      </c>
    </row>
    <row r="50" spans="1:8" x14ac:dyDescent="0.3">
      <c r="A50" s="1">
        <v>43466</v>
      </c>
      <c r="B50">
        <v>30.546666999999999</v>
      </c>
      <c r="C50">
        <v>33.116669000000002</v>
      </c>
      <c r="D50">
        <v>30.546666999999999</v>
      </c>
      <c r="E50">
        <v>31.943332999999999</v>
      </c>
      <c r="F50">
        <v>29.295845</v>
      </c>
      <c r="G50">
        <v>482219100</v>
      </c>
      <c r="H50" s="2">
        <f t="shared" si="0"/>
        <v>3.4385082602420125E-2</v>
      </c>
    </row>
    <row r="51" spans="1:8" x14ac:dyDescent="0.3">
      <c r="A51" s="1">
        <v>43497</v>
      </c>
      <c r="B51">
        <v>31.973333</v>
      </c>
      <c r="C51">
        <v>34.726664999999997</v>
      </c>
      <c r="D51">
        <v>31.036667000000001</v>
      </c>
      <c r="E51">
        <v>32.996665999999998</v>
      </c>
      <c r="F51">
        <v>30.261870999999999</v>
      </c>
      <c r="G51">
        <v>500398500</v>
      </c>
      <c r="H51" s="2">
        <f t="shared" si="0"/>
        <v>3.2974846774346304E-2</v>
      </c>
    </row>
    <row r="52" spans="1:8" x14ac:dyDescent="0.3">
      <c r="A52" s="1">
        <v>43525</v>
      </c>
      <c r="B52">
        <v>33.156666000000001</v>
      </c>
      <c r="C52">
        <v>33.496665999999998</v>
      </c>
      <c r="D52">
        <v>31.666668000000001</v>
      </c>
      <c r="E52">
        <v>32.509998000000003</v>
      </c>
      <c r="F52">
        <v>29.815542000000001</v>
      </c>
      <c r="G52">
        <v>423441300</v>
      </c>
      <c r="H52" s="2">
        <f t="shared" si="0"/>
        <v>-1.4748889782789659E-2</v>
      </c>
    </row>
    <row r="53" spans="1:8" x14ac:dyDescent="0.3">
      <c r="A53" s="1">
        <v>43556</v>
      </c>
      <c r="B53">
        <v>32.656666000000001</v>
      </c>
      <c r="C53">
        <v>34.716667000000001</v>
      </c>
      <c r="D53">
        <v>32.263331999999998</v>
      </c>
      <c r="E53">
        <v>34.279998999999997</v>
      </c>
      <c r="F53">
        <v>31.608001999999999</v>
      </c>
      <c r="G53">
        <v>331820700</v>
      </c>
      <c r="H53" s="2">
        <f t="shared" si="0"/>
        <v>6.0118310108197875E-2</v>
      </c>
    </row>
    <row r="54" spans="1:8" x14ac:dyDescent="0.3">
      <c r="A54" s="1">
        <v>43586</v>
      </c>
      <c r="B54">
        <v>34.256667999999998</v>
      </c>
      <c r="C54">
        <v>34.653331999999999</v>
      </c>
      <c r="D54">
        <v>32.950001</v>
      </c>
      <c r="E54">
        <v>33.813332000000003</v>
      </c>
      <c r="F54">
        <v>31.177713000000001</v>
      </c>
      <c r="G54">
        <v>467294700</v>
      </c>
      <c r="H54" s="2">
        <f t="shared" si="0"/>
        <v>-1.3613293241375977E-2</v>
      </c>
    </row>
    <row r="55" spans="1:8" x14ac:dyDescent="0.3">
      <c r="A55" s="1">
        <v>43617</v>
      </c>
      <c r="B55">
        <v>33.876666999999998</v>
      </c>
      <c r="C55">
        <v>37.406666000000001</v>
      </c>
      <c r="D55">
        <v>33.799999</v>
      </c>
      <c r="E55">
        <v>36.830002</v>
      </c>
      <c r="F55">
        <v>34.139645000000002</v>
      </c>
      <c r="G55">
        <v>364575000</v>
      </c>
      <c r="H55" s="2">
        <f t="shared" si="0"/>
        <v>9.5001580135143357E-2</v>
      </c>
    </row>
    <row r="56" spans="1:8" x14ac:dyDescent="0.3">
      <c r="A56" s="1">
        <v>43647</v>
      </c>
      <c r="B56">
        <v>37.099997999999999</v>
      </c>
      <c r="C56">
        <v>38.496665999999998</v>
      </c>
      <c r="D56">
        <v>36.543331000000002</v>
      </c>
      <c r="E56">
        <v>36.793331000000002</v>
      </c>
      <c r="F56">
        <v>34.105656000000003</v>
      </c>
      <c r="G56">
        <v>273860700</v>
      </c>
      <c r="H56" s="2">
        <f t="shared" si="0"/>
        <v>-9.9558738821092807E-4</v>
      </c>
    </row>
    <row r="57" spans="1:8" x14ac:dyDescent="0.3">
      <c r="A57" s="1">
        <v>43678</v>
      </c>
      <c r="B57">
        <v>36.773335000000003</v>
      </c>
      <c r="C57">
        <v>38.459999000000003</v>
      </c>
      <c r="D57">
        <v>34.946666999999998</v>
      </c>
      <c r="E57">
        <v>38.086666000000001</v>
      </c>
      <c r="F57">
        <v>35.304504000000001</v>
      </c>
      <c r="G57">
        <v>473622600</v>
      </c>
      <c r="H57" s="2">
        <f t="shared" si="0"/>
        <v>3.5151002519933881E-2</v>
      </c>
    </row>
    <row r="58" spans="1:8" x14ac:dyDescent="0.3">
      <c r="A58" s="1">
        <v>43709</v>
      </c>
      <c r="B58">
        <v>37.893332999999998</v>
      </c>
      <c r="C58">
        <v>39.953335000000003</v>
      </c>
      <c r="D58">
        <v>37.830002</v>
      </c>
      <c r="E58">
        <v>39.560001</v>
      </c>
      <c r="F58">
        <v>36.850731000000003</v>
      </c>
      <c r="G58">
        <v>316087500</v>
      </c>
      <c r="H58" s="2">
        <f t="shared" si="0"/>
        <v>4.3796876455196816E-2</v>
      </c>
    </row>
    <row r="59" spans="1:8" x14ac:dyDescent="0.3">
      <c r="A59" s="1">
        <v>43739</v>
      </c>
      <c r="B59">
        <v>39.616669000000002</v>
      </c>
      <c r="C59">
        <v>40.236668000000002</v>
      </c>
      <c r="D59">
        <v>38.193333000000003</v>
      </c>
      <c r="E59">
        <v>39.086666000000001</v>
      </c>
      <c r="F59">
        <v>36.409816999999997</v>
      </c>
      <c r="G59">
        <v>289222800</v>
      </c>
      <c r="H59" s="2">
        <f t="shared" si="0"/>
        <v>-1.1964864414765786E-2</v>
      </c>
    </row>
    <row r="60" spans="1:8" x14ac:dyDescent="0.3">
      <c r="A60" s="1">
        <v>43770</v>
      </c>
      <c r="B60">
        <v>39.306666999999997</v>
      </c>
      <c r="C60">
        <v>41.793331000000002</v>
      </c>
      <c r="D60">
        <v>39.026668999999998</v>
      </c>
      <c r="E60">
        <v>39.696666999999998</v>
      </c>
      <c r="F60">
        <v>36.978039000000003</v>
      </c>
      <c r="G60">
        <v>349861800</v>
      </c>
      <c r="H60" s="2">
        <f t="shared" si="0"/>
        <v>1.5606285524588212E-2</v>
      </c>
    </row>
    <row r="61" spans="1:8" x14ac:dyDescent="0.3">
      <c r="A61" s="1">
        <v>43800</v>
      </c>
      <c r="B61">
        <v>39.716667000000001</v>
      </c>
      <c r="C61">
        <v>40.706668999999998</v>
      </c>
      <c r="D61">
        <v>39.139999000000003</v>
      </c>
      <c r="E61">
        <v>39.613334999999999</v>
      </c>
      <c r="F61">
        <v>36.900413999999998</v>
      </c>
      <c r="G61">
        <v>295268100</v>
      </c>
      <c r="H61" s="2">
        <f t="shared" si="0"/>
        <v>-2.0992189445201439E-3</v>
      </c>
    </row>
    <row r="62" spans="1:8" x14ac:dyDescent="0.3">
      <c r="A62" s="1">
        <v>43831</v>
      </c>
      <c r="B62">
        <v>39.619999</v>
      </c>
      <c r="C62">
        <v>39.963332999999999</v>
      </c>
      <c r="D62">
        <v>37.560001</v>
      </c>
      <c r="E62">
        <v>38.163333999999999</v>
      </c>
      <c r="F62">
        <v>35.709170999999998</v>
      </c>
      <c r="G62">
        <v>383722500</v>
      </c>
      <c r="H62" s="2">
        <f t="shared" si="0"/>
        <v>-3.2282645934541554E-2</v>
      </c>
    </row>
    <row r="63" spans="1:8" x14ac:dyDescent="0.3">
      <c r="A63" s="1">
        <v>43862</v>
      </c>
      <c r="B63">
        <v>38.299999</v>
      </c>
      <c r="C63">
        <v>39.983333999999999</v>
      </c>
      <c r="D63">
        <v>34.790000999999997</v>
      </c>
      <c r="E63">
        <v>35.893332999999998</v>
      </c>
      <c r="F63">
        <v>33.585147999999997</v>
      </c>
      <c r="G63">
        <v>397242300</v>
      </c>
      <c r="H63" s="2">
        <f t="shared" si="0"/>
        <v>-5.948116241623199E-2</v>
      </c>
    </row>
    <row r="64" spans="1:8" x14ac:dyDescent="0.3">
      <c r="A64" s="1">
        <v>43891</v>
      </c>
      <c r="B64">
        <v>35.866669000000002</v>
      </c>
      <c r="C64">
        <v>42.693333000000003</v>
      </c>
      <c r="D64">
        <v>34</v>
      </c>
      <c r="E64">
        <v>37.873333000000002</v>
      </c>
      <c r="F64">
        <v>35.437817000000003</v>
      </c>
      <c r="G64">
        <v>956864400</v>
      </c>
      <c r="H64" s="2">
        <f t="shared" si="0"/>
        <v>5.516334184384139E-2</v>
      </c>
    </row>
    <row r="65" spans="1:8" x14ac:dyDescent="0.3">
      <c r="A65" s="1">
        <v>43922</v>
      </c>
      <c r="B65">
        <v>37.383330999999998</v>
      </c>
      <c r="C65">
        <v>44.459999000000003</v>
      </c>
      <c r="D65">
        <v>37.266666000000001</v>
      </c>
      <c r="E65">
        <v>40.516666000000001</v>
      </c>
      <c r="F65">
        <v>38.078910999999998</v>
      </c>
      <c r="G65">
        <v>621479400</v>
      </c>
      <c r="H65" s="2">
        <f t="shared" si="0"/>
        <v>7.4527559076226255E-2</v>
      </c>
    </row>
    <row r="66" spans="1:8" x14ac:dyDescent="0.3">
      <c r="A66" s="1">
        <v>43952</v>
      </c>
      <c r="B66">
        <v>40.493332000000002</v>
      </c>
      <c r="C66">
        <v>43.996665999999998</v>
      </c>
      <c r="D66">
        <v>40.259998000000003</v>
      </c>
      <c r="E66">
        <v>41.353332999999999</v>
      </c>
      <c r="F66">
        <v>38.865242000000002</v>
      </c>
      <c r="G66">
        <v>560369100</v>
      </c>
      <c r="H66" s="2">
        <f t="shared" ref="H66:H115" si="1">(F66-F65)/F65</f>
        <v>2.0650039072808678E-2</v>
      </c>
    </row>
    <row r="67" spans="1:8" x14ac:dyDescent="0.3">
      <c r="A67" s="1">
        <v>43983</v>
      </c>
      <c r="B67">
        <v>41.146667000000001</v>
      </c>
      <c r="C67">
        <v>41.470001000000003</v>
      </c>
      <c r="D67">
        <v>39.003334000000002</v>
      </c>
      <c r="E67">
        <v>39.926665999999997</v>
      </c>
      <c r="F67">
        <v>37.689472000000002</v>
      </c>
      <c r="G67">
        <v>557556600</v>
      </c>
      <c r="H67" s="2">
        <f t="shared" si="1"/>
        <v>-3.0252481124393871E-2</v>
      </c>
    </row>
    <row r="68" spans="1:8" x14ac:dyDescent="0.3">
      <c r="A68" s="1">
        <v>44013</v>
      </c>
      <c r="B68">
        <v>39.816665999999998</v>
      </c>
      <c r="C68">
        <v>44.709999000000003</v>
      </c>
      <c r="D68">
        <v>39.406666000000001</v>
      </c>
      <c r="E68">
        <v>43.133330999999998</v>
      </c>
      <c r="F68">
        <v>40.716461000000002</v>
      </c>
      <c r="G68">
        <v>592356300</v>
      </c>
      <c r="H68" s="2">
        <f t="shared" si="1"/>
        <v>8.0313913657373615E-2</v>
      </c>
    </row>
    <row r="69" spans="1:8" x14ac:dyDescent="0.3">
      <c r="A69" s="1">
        <v>44044</v>
      </c>
      <c r="B69">
        <v>43.303333000000002</v>
      </c>
      <c r="C69">
        <v>47.023335000000003</v>
      </c>
      <c r="D69">
        <v>42.756667999999998</v>
      </c>
      <c r="E69">
        <v>46.283332999999999</v>
      </c>
      <c r="F69">
        <v>43.689968</v>
      </c>
      <c r="G69">
        <v>690025200</v>
      </c>
      <c r="H69" s="2">
        <f t="shared" si="1"/>
        <v>7.3029603432380769E-2</v>
      </c>
    </row>
    <row r="70" spans="1:8" x14ac:dyDescent="0.3">
      <c r="A70" s="1">
        <v>44075</v>
      </c>
      <c r="B70">
        <v>47.066665999999998</v>
      </c>
      <c r="C70">
        <v>50.443333000000003</v>
      </c>
      <c r="D70">
        <v>44.916668000000001</v>
      </c>
      <c r="E70">
        <v>46.636665000000001</v>
      </c>
      <c r="F70">
        <v>44.204478999999999</v>
      </c>
      <c r="G70">
        <v>805971600</v>
      </c>
      <c r="H70" s="2">
        <f t="shared" si="1"/>
        <v>1.1776410548069041E-2</v>
      </c>
    </row>
    <row r="71" spans="1:8" x14ac:dyDescent="0.3">
      <c r="A71" s="1">
        <v>44105</v>
      </c>
      <c r="B71">
        <v>46.933334000000002</v>
      </c>
      <c r="C71">
        <v>48.866669000000002</v>
      </c>
      <c r="D71">
        <v>45.790000999999997</v>
      </c>
      <c r="E71">
        <v>46.25</v>
      </c>
      <c r="F71">
        <v>43.837986000000001</v>
      </c>
      <c r="G71">
        <v>386985000</v>
      </c>
      <c r="H71" s="2">
        <f t="shared" si="1"/>
        <v>-8.2908566799305208E-3</v>
      </c>
    </row>
    <row r="72" spans="1:8" x14ac:dyDescent="0.3">
      <c r="A72" s="1">
        <v>44136</v>
      </c>
      <c r="B72">
        <v>46.863334999999999</v>
      </c>
      <c r="C72">
        <v>51.133330999999998</v>
      </c>
      <c r="D72">
        <v>46.343333999999999</v>
      </c>
      <c r="E72">
        <v>50.93</v>
      </c>
      <c r="F72">
        <v>48.273910999999998</v>
      </c>
      <c r="G72">
        <v>413800500</v>
      </c>
      <c r="H72" s="2">
        <f t="shared" si="1"/>
        <v>0.10118906922411987</v>
      </c>
    </row>
    <row r="73" spans="1:8" x14ac:dyDescent="0.3">
      <c r="A73" s="1">
        <v>44166</v>
      </c>
      <c r="B73">
        <v>51.200001</v>
      </c>
      <c r="C73">
        <v>51.220001000000003</v>
      </c>
      <c r="D73">
        <v>47.433334000000002</v>
      </c>
      <c r="E73">
        <v>48.049999</v>
      </c>
      <c r="F73">
        <v>45.544108999999999</v>
      </c>
      <c r="G73">
        <v>511105500</v>
      </c>
      <c r="H73" s="2">
        <f t="shared" si="1"/>
        <v>-5.6548183966283555E-2</v>
      </c>
    </row>
    <row r="74" spans="1:8" x14ac:dyDescent="0.3">
      <c r="A74" s="1">
        <v>44197</v>
      </c>
      <c r="B74">
        <v>48.099997999999999</v>
      </c>
      <c r="C74">
        <v>49.976664999999997</v>
      </c>
      <c r="D74">
        <v>46.783332999999999</v>
      </c>
      <c r="E74">
        <v>46.830002</v>
      </c>
      <c r="F74">
        <v>44.549995000000003</v>
      </c>
      <c r="G74">
        <v>450488700</v>
      </c>
      <c r="H74" s="2">
        <f t="shared" si="1"/>
        <v>-2.1827499139350739E-2</v>
      </c>
    </row>
    <row r="75" spans="1:8" x14ac:dyDescent="0.3">
      <c r="A75" s="1">
        <v>44228</v>
      </c>
      <c r="B75">
        <v>46.970001000000003</v>
      </c>
      <c r="C75">
        <v>49.166668000000001</v>
      </c>
      <c r="D75">
        <v>43.286667000000001</v>
      </c>
      <c r="E75">
        <v>43.306666999999997</v>
      </c>
      <c r="F75">
        <v>41.198196000000003</v>
      </c>
      <c r="G75">
        <v>554999400</v>
      </c>
      <c r="H75" s="2">
        <f t="shared" si="1"/>
        <v>-7.523679856754191E-2</v>
      </c>
    </row>
    <row r="76" spans="1:8" x14ac:dyDescent="0.3">
      <c r="A76" s="1">
        <v>44256</v>
      </c>
      <c r="B76">
        <v>43.860000999999997</v>
      </c>
      <c r="C76">
        <v>45.863334999999999</v>
      </c>
      <c r="D76">
        <v>42.093333999999999</v>
      </c>
      <c r="E76">
        <v>45.276668999999998</v>
      </c>
      <c r="F76">
        <v>43.072288999999998</v>
      </c>
      <c r="G76">
        <v>739644300</v>
      </c>
      <c r="H76" s="2">
        <f t="shared" si="1"/>
        <v>4.5489686004697751E-2</v>
      </c>
    </row>
    <row r="77" spans="1:8" x14ac:dyDescent="0.3">
      <c r="A77" s="1">
        <v>44287</v>
      </c>
      <c r="B77">
        <v>45.313332000000003</v>
      </c>
      <c r="C77">
        <v>47.256667999999998</v>
      </c>
      <c r="D77">
        <v>45.110000999999997</v>
      </c>
      <c r="E77">
        <v>46.636665000000001</v>
      </c>
      <c r="F77">
        <v>44.551296000000001</v>
      </c>
      <c r="G77">
        <v>459365700</v>
      </c>
      <c r="H77" s="2">
        <f t="shared" si="1"/>
        <v>3.4337785019969633E-2</v>
      </c>
    </row>
    <row r="78" spans="1:8" x14ac:dyDescent="0.3">
      <c r="A78" s="1">
        <v>44317</v>
      </c>
      <c r="B78">
        <v>46.560001</v>
      </c>
      <c r="C78">
        <v>48.193333000000003</v>
      </c>
      <c r="D78">
        <v>45.253334000000002</v>
      </c>
      <c r="E78">
        <v>47.343333999999999</v>
      </c>
      <c r="F78">
        <v>45.226376000000002</v>
      </c>
      <c r="G78">
        <v>524333400</v>
      </c>
      <c r="H78" s="2">
        <f t="shared" si="1"/>
        <v>1.5152870075878403E-2</v>
      </c>
    </row>
    <row r="79" spans="1:8" x14ac:dyDescent="0.3">
      <c r="A79" s="1">
        <v>44348</v>
      </c>
      <c r="B79">
        <v>47.403331999999999</v>
      </c>
      <c r="C79">
        <v>47.599997999999999</v>
      </c>
      <c r="D79">
        <v>44.799999</v>
      </c>
      <c r="E79">
        <v>47.006667999999998</v>
      </c>
      <c r="F79">
        <v>45.081111999999997</v>
      </c>
      <c r="G79">
        <v>507321000</v>
      </c>
      <c r="H79" s="2">
        <f t="shared" si="1"/>
        <v>-3.2119310200756411E-3</v>
      </c>
    </row>
    <row r="80" spans="1:8" x14ac:dyDescent="0.3">
      <c r="A80" s="1">
        <v>44378</v>
      </c>
      <c r="B80">
        <v>46.803333000000002</v>
      </c>
      <c r="C80">
        <v>47.953335000000003</v>
      </c>
      <c r="D80">
        <v>46.073334000000003</v>
      </c>
      <c r="E80">
        <v>47.516666000000001</v>
      </c>
      <c r="F80">
        <v>45.570210000000003</v>
      </c>
      <c r="G80">
        <v>395649300</v>
      </c>
      <c r="H80" s="2">
        <f t="shared" si="1"/>
        <v>1.084928872207069E-2</v>
      </c>
    </row>
    <row r="81" spans="1:8" x14ac:dyDescent="0.3">
      <c r="A81" s="1">
        <v>44409</v>
      </c>
      <c r="B81">
        <v>47.610000999999997</v>
      </c>
      <c r="C81">
        <v>50.856667000000002</v>
      </c>
      <c r="D81">
        <v>47.223331000000002</v>
      </c>
      <c r="E81">
        <v>49.366669000000002</v>
      </c>
      <c r="F81">
        <v>47.344433000000002</v>
      </c>
      <c r="G81">
        <v>544199400</v>
      </c>
      <c r="H81" s="2">
        <f t="shared" si="1"/>
        <v>3.8933834186851438E-2</v>
      </c>
    </row>
    <row r="82" spans="1:8" x14ac:dyDescent="0.3">
      <c r="A82" s="1">
        <v>44440</v>
      </c>
      <c r="B82">
        <v>49.186667999999997</v>
      </c>
      <c r="C82">
        <v>49.883330999999998</v>
      </c>
      <c r="D82">
        <v>46.416668000000001</v>
      </c>
      <c r="E82">
        <v>46.459999000000003</v>
      </c>
      <c r="F82">
        <v>44.720798000000002</v>
      </c>
      <c r="G82">
        <v>453765600</v>
      </c>
      <c r="H82" s="2">
        <f t="shared" si="1"/>
        <v>-5.5415913419007472E-2</v>
      </c>
    </row>
    <row r="83" spans="1:8" x14ac:dyDescent="0.3">
      <c r="A83" s="1">
        <v>44470</v>
      </c>
      <c r="B83">
        <v>46.419998</v>
      </c>
      <c r="C83">
        <v>50.183334000000002</v>
      </c>
      <c r="D83">
        <v>44.903331999999999</v>
      </c>
      <c r="E83">
        <v>49.806666999999997</v>
      </c>
      <c r="F83">
        <v>47.942183999999997</v>
      </c>
      <c r="G83">
        <v>413998800</v>
      </c>
      <c r="H83" s="2">
        <f t="shared" si="1"/>
        <v>7.2033285273666078E-2</v>
      </c>
    </row>
    <row r="84" spans="1:8" x14ac:dyDescent="0.3">
      <c r="A84" s="1">
        <v>44501</v>
      </c>
      <c r="B84">
        <v>49.993332000000002</v>
      </c>
      <c r="C84">
        <v>50.666668000000001</v>
      </c>
      <c r="D84">
        <v>46.669998</v>
      </c>
      <c r="E84">
        <v>46.876666999999998</v>
      </c>
      <c r="F84">
        <v>45.121876</v>
      </c>
      <c r="G84">
        <v>534258600</v>
      </c>
      <c r="H84" s="2">
        <f t="shared" si="1"/>
        <v>-5.8827274118342154E-2</v>
      </c>
    </row>
    <row r="85" spans="1:8" x14ac:dyDescent="0.3">
      <c r="A85" s="1">
        <v>44531</v>
      </c>
      <c r="B85">
        <v>46.836666000000001</v>
      </c>
      <c r="C85">
        <v>48.843333999999999</v>
      </c>
      <c r="D85">
        <v>45.080002</v>
      </c>
      <c r="E85">
        <v>48.23</v>
      </c>
      <c r="F85">
        <v>46.424548999999999</v>
      </c>
      <c r="G85">
        <v>716247600</v>
      </c>
      <c r="H85" s="2">
        <f t="shared" si="1"/>
        <v>2.887009839750454E-2</v>
      </c>
    </row>
    <row r="86" spans="1:8" x14ac:dyDescent="0.3">
      <c r="A86" s="1">
        <v>44562</v>
      </c>
      <c r="B86">
        <v>48</v>
      </c>
      <c r="C86">
        <v>48.876666999999998</v>
      </c>
      <c r="D86">
        <v>44.650002000000001</v>
      </c>
      <c r="E86">
        <v>46.603332999999999</v>
      </c>
      <c r="F86">
        <v>45.039383000000001</v>
      </c>
      <c r="G86">
        <v>497216100</v>
      </c>
      <c r="H86" s="2">
        <f t="shared" si="1"/>
        <v>-2.9836929595158764E-2</v>
      </c>
    </row>
    <row r="87" spans="1:8" x14ac:dyDescent="0.3">
      <c r="A87" s="1">
        <v>44593</v>
      </c>
      <c r="B87">
        <v>46.403331999999999</v>
      </c>
      <c r="C87">
        <v>47.330002</v>
      </c>
      <c r="D87">
        <v>44.003334000000002</v>
      </c>
      <c r="E87">
        <v>45.053333000000002</v>
      </c>
      <c r="F87">
        <v>43.541404999999997</v>
      </c>
      <c r="G87">
        <v>487764300</v>
      </c>
      <c r="H87" s="2">
        <f t="shared" si="1"/>
        <v>-3.3259292206556282E-2</v>
      </c>
    </row>
    <row r="88" spans="1:8" x14ac:dyDescent="0.3">
      <c r="A88" s="1">
        <v>44621</v>
      </c>
      <c r="B88">
        <v>45.290000999999997</v>
      </c>
      <c r="C88">
        <v>50.18</v>
      </c>
      <c r="D88">
        <v>45.006667999999998</v>
      </c>
      <c r="E88">
        <v>49.639999000000003</v>
      </c>
      <c r="F88">
        <v>47.974148</v>
      </c>
      <c r="G88">
        <v>557647500</v>
      </c>
      <c r="H88" s="2">
        <f t="shared" si="1"/>
        <v>0.10180523572907219</v>
      </c>
    </row>
    <row r="89" spans="1:8" x14ac:dyDescent="0.3">
      <c r="A89" s="1">
        <v>44652</v>
      </c>
      <c r="B89">
        <v>49.886665000000001</v>
      </c>
      <c r="C89">
        <v>53.59</v>
      </c>
      <c r="D89">
        <v>49.613334999999999</v>
      </c>
      <c r="E89">
        <v>50.996665999999998</v>
      </c>
      <c r="F89">
        <v>49.475903000000002</v>
      </c>
      <c r="G89">
        <v>427213500</v>
      </c>
      <c r="H89" s="2">
        <f t="shared" si="1"/>
        <v>3.1303422001366293E-2</v>
      </c>
    </row>
    <row r="90" spans="1:8" x14ac:dyDescent="0.3">
      <c r="A90" s="1">
        <v>44682</v>
      </c>
      <c r="B90">
        <v>51.653331999999999</v>
      </c>
      <c r="C90">
        <v>51.663333999999999</v>
      </c>
      <c r="D90">
        <v>39.090000000000003</v>
      </c>
      <c r="E90">
        <v>42.876666999999998</v>
      </c>
      <c r="F90">
        <v>41.598049000000003</v>
      </c>
      <c r="G90">
        <v>816439800</v>
      </c>
      <c r="H90" s="2">
        <f t="shared" si="1"/>
        <v>-0.15922607819810786</v>
      </c>
    </row>
    <row r="91" spans="1:8" x14ac:dyDescent="0.3">
      <c r="A91" s="1">
        <v>44713</v>
      </c>
      <c r="B91">
        <v>42.833331999999999</v>
      </c>
      <c r="C91">
        <v>42.973331000000002</v>
      </c>
      <c r="D91">
        <v>39.299999</v>
      </c>
      <c r="E91">
        <v>40.526668999999998</v>
      </c>
      <c r="F91">
        <v>39.461047999999998</v>
      </c>
      <c r="G91">
        <v>512761800</v>
      </c>
      <c r="H91" s="2">
        <f t="shared" si="1"/>
        <v>-5.1372625672901268E-2</v>
      </c>
    </row>
    <row r="92" spans="1:8" x14ac:dyDescent="0.3">
      <c r="A92" s="1">
        <v>44743</v>
      </c>
      <c r="B92">
        <v>40.646667000000001</v>
      </c>
      <c r="C92">
        <v>44.463332999999999</v>
      </c>
      <c r="D92">
        <v>40.020000000000003</v>
      </c>
      <c r="E92">
        <v>44.016666000000001</v>
      </c>
      <c r="F92">
        <v>42.859279999999998</v>
      </c>
      <c r="G92">
        <v>472936800</v>
      </c>
      <c r="H92" s="2">
        <f t="shared" si="1"/>
        <v>8.611611125989356E-2</v>
      </c>
    </row>
    <row r="93" spans="1:8" x14ac:dyDescent="0.3">
      <c r="A93" s="1">
        <v>44774</v>
      </c>
      <c r="B93">
        <v>43.686667999999997</v>
      </c>
      <c r="C93">
        <v>47.573334000000003</v>
      </c>
      <c r="D93">
        <v>41.706668999999998</v>
      </c>
      <c r="E93">
        <v>44.183334000000002</v>
      </c>
      <c r="F93">
        <v>43.021568000000002</v>
      </c>
      <c r="G93">
        <v>623681700</v>
      </c>
      <c r="H93" s="2">
        <f t="shared" si="1"/>
        <v>3.7865311783119959E-3</v>
      </c>
    </row>
    <row r="94" spans="1:8" x14ac:dyDescent="0.3">
      <c r="A94" s="1">
        <v>44805</v>
      </c>
      <c r="B94">
        <v>44.18</v>
      </c>
      <c r="C94">
        <v>46.083331999999999</v>
      </c>
      <c r="D94">
        <v>42.756667999999998</v>
      </c>
      <c r="E94">
        <v>43.233333999999999</v>
      </c>
      <c r="F94">
        <v>42.279884000000003</v>
      </c>
      <c r="G94">
        <v>416526900</v>
      </c>
      <c r="H94" s="2">
        <f t="shared" si="1"/>
        <v>-1.7239817944338973E-2</v>
      </c>
    </row>
    <row r="95" spans="1:8" x14ac:dyDescent="0.3">
      <c r="A95" s="1">
        <v>44835</v>
      </c>
      <c r="B95">
        <v>43.413333999999999</v>
      </c>
      <c r="C95">
        <v>47.689999</v>
      </c>
      <c r="D95">
        <v>42.689999</v>
      </c>
      <c r="E95">
        <v>47.443333000000003</v>
      </c>
      <c r="F95">
        <v>46.397038000000002</v>
      </c>
      <c r="G95">
        <v>350685000</v>
      </c>
      <c r="H95" s="2">
        <f t="shared" si="1"/>
        <v>9.7378554775599646E-2</v>
      </c>
    </row>
    <row r="96" spans="1:8" x14ac:dyDescent="0.3">
      <c r="A96" s="1">
        <v>44866</v>
      </c>
      <c r="B96">
        <v>47.656666000000001</v>
      </c>
      <c r="C96">
        <v>51.546664999999997</v>
      </c>
      <c r="D96">
        <v>46.09</v>
      </c>
      <c r="E96">
        <v>50.806666999999997</v>
      </c>
      <c r="F96">
        <v>49.686202999999999</v>
      </c>
      <c r="G96">
        <v>454982100</v>
      </c>
      <c r="H96" s="2">
        <f t="shared" si="1"/>
        <v>7.0891702181505575E-2</v>
      </c>
    </row>
    <row r="97" spans="1:8" x14ac:dyDescent="0.3">
      <c r="A97" s="1">
        <v>44896</v>
      </c>
      <c r="B97">
        <v>50.683334000000002</v>
      </c>
      <c r="C97">
        <v>51.203335000000003</v>
      </c>
      <c r="D97">
        <v>46.936667999999997</v>
      </c>
      <c r="E97">
        <v>47.263331999999998</v>
      </c>
      <c r="F97">
        <v>46.221004000000001</v>
      </c>
      <c r="G97">
        <v>382125300</v>
      </c>
      <c r="H97" s="2">
        <f t="shared" si="1"/>
        <v>-6.9741674565069869E-2</v>
      </c>
    </row>
    <row r="98" spans="1:8" x14ac:dyDescent="0.3">
      <c r="A98" s="1">
        <v>44927</v>
      </c>
      <c r="B98">
        <v>47.516666000000001</v>
      </c>
      <c r="C98">
        <v>49.286667000000001</v>
      </c>
      <c r="D98">
        <v>46.056666999999997</v>
      </c>
      <c r="E98">
        <v>47.956668999999998</v>
      </c>
      <c r="F98">
        <v>47.075851</v>
      </c>
      <c r="G98">
        <v>324054600</v>
      </c>
      <c r="H98" s="2">
        <f t="shared" si="1"/>
        <v>1.849477350167468E-2</v>
      </c>
    </row>
    <row r="99" spans="1:8" x14ac:dyDescent="0.3">
      <c r="A99" s="1">
        <v>44958</v>
      </c>
      <c r="B99">
        <v>47.886665000000001</v>
      </c>
      <c r="C99">
        <v>49.446666999999998</v>
      </c>
      <c r="D99">
        <v>46.23</v>
      </c>
      <c r="E99">
        <v>47.376666999999998</v>
      </c>
      <c r="F99">
        <v>46.506504</v>
      </c>
      <c r="G99">
        <v>368553300</v>
      </c>
      <c r="H99" s="2">
        <f t="shared" si="1"/>
        <v>-1.2094247643021907E-2</v>
      </c>
    </row>
    <row r="100" spans="1:8" x14ac:dyDescent="0.3">
      <c r="A100" s="1">
        <v>44986</v>
      </c>
      <c r="B100">
        <v>47.02</v>
      </c>
      <c r="C100">
        <v>49.48</v>
      </c>
      <c r="D100">
        <v>45.363334999999999</v>
      </c>
      <c r="E100">
        <v>49.150002000000001</v>
      </c>
      <c r="F100">
        <v>48.247269000000003</v>
      </c>
      <c r="G100">
        <v>524648700</v>
      </c>
      <c r="H100" s="2">
        <f t="shared" si="1"/>
        <v>3.7430571001423871E-2</v>
      </c>
    </row>
    <row r="101" spans="1:8" x14ac:dyDescent="0.3">
      <c r="A101" s="1">
        <v>45017</v>
      </c>
      <c r="B101">
        <v>49.243332000000002</v>
      </c>
      <c r="C101">
        <v>51.25</v>
      </c>
      <c r="D101">
        <v>49.006667999999998</v>
      </c>
      <c r="E101">
        <v>50.323334000000003</v>
      </c>
      <c r="F101">
        <v>49.601520999999998</v>
      </c>
      <c r="G101">
        <v>301894800</v>
      </c>
      <c r="H101" s="2">
        <f t="shared" si="1"/>
        <v>2.8068987697521187E-2</v>
      </c>
    </row>
    <row r="102" spans="1:8" x14ac:dyDescent="0.3">
      <c r="A102" s="1">
        <v>45047</v>
      </c>
      <c r="B102">
        <v>50.346668000000001</v>
      </c>
      <c r="C102">
        <v>51.450001</v>
      </c>
      <c r="D102">
        <v>48.336666000000001</v>
      </c>
      <c r="E102">
        <v>48.956668999999998</v>
      </c>
      <c r="F102">
        <v>48.254455999999998</v>
      </c>
      <c r="G102">
        <v>406453500</v>
      </c>
      <c r="H102" s="2">
        <f t="shared" si="1"/>
        <v>-2.715773574765985E-2</v>
      </c>
    </row>
    <row r="103" spans="1:8" x14ac:dyDescent="0.3">
      <c r="A103" s="1">
        <v>45078</v>
      </c>
      <c r="B103">
        <v>48.736668000000002</v>
      </c>
      <c r="C103">
        <v>52.743332000000002</v>
      </c>
      <c r="D103">
        <v>48.646667000000001</v>
      </c>
      <c r="E103">
        <v>52.393332999999998</v>
      </c>
      <c r="F103">
        <v>51.838000999999998</v>
      </c>
      <c r="G103">
        <v>390332400</v>
      </c>
      <c r="H103" s="2">
        <f t="shared" si="1"/>
        <v>7.4263504286526436E-2</v>
      </c>
    </row>
    <row r="104" spans="1:8" x14ac:dyDescent="0.3">
      <c r="A104" s="1">
        <v>45108</v>
      </c>
      <c r="B104">
        <v>52.27</v>
      </c>
      <c r="C104">
        <v>53.646667000000001</v>
      </c>
      <c r="D104">
        <v>51.150002000000001</v>
      </c>
      <c r="E104">
        <v>53.286667000000001</v>
      </c>
      <c r="F104">
        <v>52.721867000000003</v>
      </c>
      <c r="G104">
        <v>272185500</v>
      </c>
      <c r="H104" s="2">
        <f t="shared" si="1"/>
        <v>1.7050541744462806E-2</v>
      </c>
    </row>
    <row r="105" spans="1:8" x14ac:dyDescent="0.3">
      <c r="A105" s="1">
        <v>45139</v>
      </c>
      <c r="B105">
        <v>53.316665999999998</v>
      </c>
      <c r="C105">
        <v>54.330002</v>
      </c>
      <c r="D105">
        <v>51.673332000000002</v>
      </c>
      <c r="E105">
        <v>54.203335000000003</v>
      </c>
      <c r="F105">
        <v>53.628819</v>
      </c>
      <c r="G105">
        <v>391674900</v>
      </c>
      <c r="H105" s="2">
        <f t="shared" si="1"/>
        <v>1.7202577442866292E-2</v>
      </c>
    </row>
    <row r="106" spans="1:8" x14ac:dyDescent="0.3">
      <c r="A106" s="1">
        <v>45170</v>
      </c>
      <c r="B106">
        <v>54.290000999999997</v>
      </c>
      <c r="C106">
        <v>55.283332999999999</v>
      </c>
      <c r="D106">
        <v>53.063332000000003</v>
      </c>
      <c r="E106">
        <v>53.310001</v>
      </c>
      <c r="F106">
        <v>52.932461000000004</v>
      </c>
      <c r="G106">
        <v>331229700</v>
      </c>
      <c r="H106" s="2">
        <f t="shared" si="1"/>
        <v>-1.2984772235987454E-2</v>
      </c>
    </row>
    <row r="107" spans="1:8" x14ac:dyDescent="0.3">
      <c r="A107" s="1">
        <v>45200</v>
      </c>
      <c r="B107">
        <v>53.163333999999999</v>
      </c>
      <c r="C107">
        <v>54.776668999999998</v>
      </c>
      <c r="D107">
        <v>50.549999</v>
      </c>
      <c r="E107">
        <v>54.470001000000003</v>
      </c>
      <c r="F107">
        <v>54.084248000000002</v>
      </c>
      <c r="G107">
        <v>344001900</v>
      </c>
      <c r="H107" s="2">
        <f t="shared" si="1"/>
        <v>2.1759558846130331E-2</v>
      </c>
    </row>
    <row r="108" spans="1:8" x14ac:dyDescent="0.3">
      <c r="A108" s="1">
        <v>45231</v>
      </c>
      <c r="B108">
        <v>54.736668000000002</v>
      </c>
      <c r="C108">
        <v>56.646667000000001</v>
      </c>
      <c r="D108">
        <v>51.376666999999998</v>
      </c>
      <c r="E108">
        <v>51.896667000000001</v>
      </c>
      <c r="F108">
        <v>51.529133000000002</v>
      </c>
      <c r="G108">
        <v>536482200</v>
      </c>
      <c r="H108" s="2">
        <f t="shared" si="1"/>
        <v>-4.7243237994175319E-2</v>
      </c>
    </row>
    <row r="109" spans="1:8" x14ac:dyDescent="0.3">
      <c r="A109" s="1">
        <v>45261</v>
      </c>
      <c r="B109">
        <v>51.793331000000002</v>
      </c>
      <c r="C109">
        <v>52.776668999999998</v>
      </c>
      <c r="D109">
        <v>49.846668000000001</v>
      </c>
      <c r="E109">
        <v>52.549999</v>
      </c>
      <c r="F109">
        <v>52.177841000000001</v>
      </c>
      <c r="G109">
        <v>543923100</v>
      </c>
      <c r="H109" s="2">
        <f t="shared" si="1"/>
        <v>1.2589150296784523E-2</v>
      </c>
    </row>
    <row r="110" spans="1:8" x14ac:dyDescent="0.3">
      <c r="A110" s="1">
        <v>45292</v>
      </c>
      <c r="B110">
        <v>52.416668000000001</v>
      </c>
      <c r="C110">
        <v>55.933334000000002</v>
      </c>
      <c r="D110">
        <v>51.866669000000002</v>
      </c>
      <c r="E110">
        <v>55.083331999999999</v>
      </c>
      <c r="F110">
        <v>54.896366</v>
      </c>
      <c r="G110">
        <v>385322100</v>
      </c>
      <c r="H110" s="2">
        <f t="shared" si="1"/>
        <v>5.2101140022255799E-2</v>
      </c>
    </row>
    <row r="111" spans="1:8" x14ac:dyDescent="0.3">
      <c r="A111" s="1">
        <v>45323</v>
      </c>
      <c r="B111">
        <v>55.233333999999999</v>
      </c>
      <c r="C111">
        <v>60.450001</v>
      </c>
      <c r="D111">
        <v>55.060001</v>
      </c>
      <c r="E111">
        <v>58.610000999999997</v>
      </c>
      <c r="F111">
        <v>58.411064000000003</v>
      </c>
      <c r="G111">
        <v>523240800</v>
      </c>
      <c r="H111" s="2">
        <f t="shared" si="1"/>
        <v>6.4024237961398084E-2</v>
      </c>
    </row>
    <row r="112" spans="1:8" x14ac:dyDescent="0.3">
      <c r="A112" s="1">
        <v>45352</v>
      </c>
      <c r="B112">
        <v>58.799999</v>
      </c>
      <c r="C112">
        <v>61.66</v>
      </c>
      <c r="D112">
        <v>58.200001</v>
      </c>
      <c r="E112">
        <v>60.169998</v>
      </c>
      <c r="F112">
        <v>59.965767</v>
      </c>
      <c r="G112">
        <v>339223100</v>
      </c>
      <c r="H112" s="2">
        <f t="shared" si="1"/>
        <v>2.6616584145770675E-2</v>
      </c>
    </row>
    <row r="113" spans="1:8" x14ac:dyDescent="0.3">
      <c r="A113" s="1">
        <v>45383</v>
      </c>
      <c r="B113">
        <v>60.310001</v>
      </c>
      <c r="C113">
        <v>60.889999000000003</v>
      </c>
      <c r="D113">
        <v>58.560001</v>
      </c>
      <c r="E113">
        <v>59.349997999999999</v>
      </c>
      <c r="F113">
        <v>59.349997999999999</v>
      </c>
      <c r="G113">
        <v>304720900</v>
      </c>
      <c r="H113" s="2">
        <f t="shared" si="1"/>
        <v>-1.0268675459450059E-2</v>
      </c>
    </row>
    <row r="114" spans="1:8" x14ac:dyDescent="0.3">
      <c r="A114" s="1">
        <v>45413</v>
      </c>
      <c r="B114">
        <v>59.310001</v>
      </c>
      <c r="C114">
        <v>61.349997999999999</v>
      </c>
      <c r="D114">
        <v>58.580002</v>
      </c>
      <c r="E114">
        <v>59.830002</v>
      </c>
      <c r="F114">
        <v>59.830002</v>
      </c>
      <c r="G114">
        <v>171019500</v>
      </c>
      <c r="H114" s="2">
        <f t="shared" si="1"/>
        <v>8.0876835075883412E-3</v>
      </c>
    </row>
    <row r="115" spans="1:8" x14ac:dyDescent="0.3">
      <c r="A115" s="1">
        <v>45428</v>
      </c>
      <c r="B115">
        <v>64.220000999999996</v>
      </c>
      <c r="C115">
        <v>64.214995999999999</v>
      </c>
      <c r="D115">
        <v>62.939999</v>
      </c>
      <c r="E115">
        <v>63.564999</v>
      </c>
      <c r="F115">
        <v>63.564999</v>
      </c>
      <c r="G115">
        <v>26887313</v>
      </c>
      <c r="H115" s="2">
        <f t="shared" si="1"/>
        <v>6.2426823920213141E-2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C8FA1-BE90-4CE2-BB70-6E5E4F22FB93}">
  <dimension ref="A1:H115"/>
  <sheetViews>
    <sheetView workbookViewId="0">
      <selection activeCell="J7" sqref="J7"/>
    </sheetView>
  </sheetViews>
  <sheetFormatPr defaultRowHeight="14.4" x14ac:dyDescent="0.3"/>
  <cols>
    <col min="1" max="1" width="10.33203125" bestFit="1" customWidth="1"/>
    <col min="2" max="7" width="11" bestFit="1" customWidth="1"/>
    <col min="8" max="8" width="8.88671875" style="2"/>
  </cols>
  <sheetData>
    <row r="1" spans="1:8" x14ac:dyDescent="0.3">
      <c r="A1" t="s">
        <v>8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</v>
      </c>
    </row>
    <row r="2" spans="1:8" x14ac:dyDescent="0.3">
      <c r="A2" s="1">
        <v>42005</v>
      </c>
      <c r="B2">
        <v>131.070007</v>
      </c>
      <c r="C2">
        <v>148.25</v>
      </c>
      <c r="D2">
        <v>126.18</v>
      </c>
      <c r="E2">
        <v>145.36999499999999</v>
      </c>
      <c r="F2">
        <v>127.14389</v>
      </c>
      <c r="G2">
        <v>109099900</v>
      </c>
      <c r="H2"/>
    </row>
    <row r="3" spans="1:8" x14ac:dyDescent="0.3">
      <c r="A3" s="1">
        <v>42036</v>
      </c>
      <c r="B3">
        <v>143.720001</v>
      </c>
      <c r="C3">
        <v>158.83000200000001</v>
      </c>
      <c r="D3">
        <v>143.050003</v>
      </c>
      <c r="E3">
        <v>150.85000600000001</v>
      </c>
      <c r="F3">
        <v>131.93684400000001</v>
      </c>
      <c r="G3">
        <v>92535100</v>
      </c>
      <c r="H3" s="2">
        <f>(F3-F2)/F2</f>
        <v>3.7697084775367568E-2</v>
      </c>
    </row>
    <row r="4" spans="1:8" x14ac:dyDescent="0.3">
      <c r="A4" s="1">
        <v>42064</v>
      </c>
      <c r="B4">
        <v>150.85000600000001</v>
      </c>
      <c r="C4">
        <v>156.91000399999999</v>
      </c>
      <c r="D4">
        <v>145.96000699999999</v>
      </c>
      <c r="E4">
        <v>150.08000200000001</v>
      </c>
      <c r="F4">
        <v>132.07524100000001</v>
      </c>
      <c r="G4">
        <v>81607600</v>
      </c>
      <c r="H4" s="2">
        <f t="shared" ref="H4:H65" si="0">(F4-F3)/F3</f>
        <v>1.0489640028072647E-3</v>
      </c>
    </row>
    <row r="5" spans="1:8" x14ac:dyDescent="0.3">
      <c r="A5" s="1">
        <v>42095</v>
      </c>
      <c r="B5">
        <v>149.970001</v>
      </c>
      <c r="C5">
        <v>155.5</v>
      </c>
      <c r="D5">
        <v>142.75</v>
      </c>
      <c r="E5">
        <v>143.33999600000001</v>
      </c>
      <c r="F5">
        <v>126.14381400000001</v>
      </c>
      <c r="G5">
        <v>84509000</v>
      </c>
      <c r="H5" s="2">
        <f t="shared" si="0"/>
        <v>-4.4909454301128242E-2</v>
      </c>
    </row>
    <row r="6" spans="1:8" x14ac:dyDescent="0.3">
      <c r="A6" s="1">
        <v>42125</v>
      </c>
      <c r="B6">
        <v>144.41000399999999</v>
      </c>
      <c r="C6">
        <v>148.300003</v>
      </c>
      <c r="D6">
        <v>140.320007</v>
      </c>
      <c r="E6">
        <v>140.520004</v>
      </c>
      <c r="F6">
        <v>123.66213999999999</v>
      </c>
      <c r="G6">
        <v>79306200</v>
      </c>
      <c r="H6" s="2">
        <f t="shared" si="0"/>
        <v>-1.9673370586369081E-2</v>
      </c>
    </row>
    <row r="7" spans="1:8" x14ac:dyDescent="0.3">
      <c r="A7" s="1">
        <v>42156</v>
      </c>
      <c r="B7">
        <v>141.449997</v>
      </c>
      <c r="C7">
        <v>146.529999</v>
      </c>
      <c r="D7">
        <v>138.44000199999999</v>
      </c>
      <c r="E7">
        <v>138.720001</v>
      </c>
      <c r="F7">
        <v>122.860359</v>
      </c>
      <c r="G7">
        <v>70463300</v>
      </c>
      <c r="H7" s="2">
        <f t="shared" si="0"/>
        <v>-6.4836416384189315E-3</v>
      </c>
    </row>
    <row r="8" spans="1:8" x14ac:dyDescent="0.3">
      <c r="A8" s="1">
        <v>42186</v>
      </c>
      <c r="B8">
        <v>140.479996</v>
      </c>
      <c r="C8">
        <v>149.179993</v>
      </c>
      <c r="D8">
        <v>139</v>
      </c>
      <c r="E8">
        <v>144.16999799999999</v>
      </c>
      <c r="F8">
        <v>127.68731699999999</v>
      </c>
      <c r="G8">
        <v>70138100</v>
      </c>
      <c r="H8" s="2">
        <f t="shared" si="0"/>
        <v>3.9288164541339085E-2</v>
      </c>
    </row>
    <row r="9" spans="1:8" x14ac:dyDescent="0.3">
      <c r="A9" s="1">
        <v>42217</v>
      </c>
      <c r="B9">
        <v>144.44000199999999</v>
      </c>
      <c r="C9">
        <v>146.770004</v>
      </c>
      <c r="D9">
        <v>115.139999</v>
      </c>
      <c r="E9">
        <v>130.679993</v>
      </c>
      <c r="F9">
        <v>115.73960099999999</v>
      </c>
      <c r="G9">
        <v>92795600</v>
      </c>
      <c r="H9" s="2">
        <f t="shared" si="0"/>
        <v>-9.357010767169617E-2</v>
      </c>
    </row>
    <row r="10" spans="1:8" x14ac:dyDescent="0.3">
      <c r="A10" s="1">
        <v>42248</v>
      </c>
      <c r="B10">
        <v>128.16000399999999</v>
      </c>
      <c r="C10">
        <v>139.91000399999999</v>
      </c>
      <c r="D10">
        <v>126.94000200000001</v>
      </c>
      <c r="E10">
        <v>130.949997</v>
      </c>
      <c r="F10">
        <v>116.71867399999999</v>
      </c>
      <c r="G10">
        <v>81291700</v>
      </c>
      <c r="H10" s="2">
        <f t="shared" si="0"/>
        <v>8.4592740215166263E-3</v>
      </c>
    </row>
    <row r="11" spans="1:8" x14ac:dyDescent="0.3">
      <c r="A11" s="1">
        <v>42278</v>
      </c>
      <c r="B11">
        <v>131.320007</v>
      </c>
      <c r="C11">
        <v>149.60000600000001</v>
      </c>
      <c r="D11">
        <v>128.55999800000001</v>
      </c>
      <c r="E11">
        <v>148.070007</v>
      </c>
      <c r="F11">
        <v>131.97813400000001</v>
      </c>
      <c r="G11">
        <v>92079800</v>
      </c>
      <c r="H11" s="2">
        <f t="shared" si="0"/>
        <v>0.13073709182131404</v>
      </c>
    </row>
    <row r="12" spans="1:8" x14ac:dyDescent="0.3">
      <c r="A12" s="1">
        <v>42309</v>
      </c>
      <c r="B12">
        <v>148.38000500000001</v>
      </c>
      <c r="C12">
        <v>150.58999600000001</v>
      </c>
      <c r="D12">
        <v>141.58999600000001</v>
      </c>
      <c r="E12">
        <v>145.449997</v>
      </c>
      <c r="F12">
        <v>129.64286799999999</v>
      </c>
      <c r="G12">
        <v>52884600</v>
      </c>
      <c r="H12" s="2">
        <f t="shared" si="0"/>
        <v>-1.769434018517051E-2</v>
      </c>
    </row>
    <row r="13" spans="1:8" x14ac:dyDescent="0.3">
      <c r="A13" s="1">
        <v>42339</v>
      </c>
      <c r="B13">
        <v>146.53999300000001</v>
      </c>
      <c r="C13">
        <v>149.800003</v>
      </c>
      <c r="D13">
        <v>138.88999899999999</v>
      </c>
      <c r="E13">
        <v>144.58999600000001</v>
      </c>
      <c r="F13">
        <v>129.67314099999999</v>
      </c>
      <c r="G13">
        <v>79703200</v>
      </c>
      <c r="H13" s="2">
        <f t="shared" si="0"/>
        <v>2.3351072424588755E-4</v>
      </c>
    </row>
    <row r="14" spans="1:8" x14ac:dyDescent="0.3">
      <c r="A14" s="1">
        <v>42370</v>
      </c>
      <c r="B14">
        <v>141.38000500000001</v>
      </c>
      <c r="C14">
        <v>141.699997</v>
      </c>
      <c r="D14">
        <v>115.019997</v>
      </c>
      <c r="E14">
        <v>120.129997</v>
      </c>
      <c r="F14">
        <v>107.736603</v>
      </c>
      <c r="G14">
        <v>135869300</v>
      </c>
      <c r="H14" s="2">
        <f t="shared" si="0"/>
        <v>-0.16916793894889912</v>
      </c>
    </row>
    <row r="15" spans="1:8" x14ac:dyDescent="0.3">
      <c r="A15" s="1">
        <v>42401</v>
      </c>
      <c r="B15">
        <v>119.639999</v>
      </c>
      <c r="C15">
        <v>124.910004</v>
      </c>
      <c r="D15">
        <v>102.099998</v>
      </c>
      <c r="E15">
        <v>118.18</v>
      </c>
      <c r="F15">
        <v>105.98777</v>
      </c>
      <c r="G15">
        <v>153197300</v>
      </c>
      <c r="H15" s="2">
        <f t="shared" si="0"/>
        <v>-1.6232486929256575E-2</v>
      </c>
    </row>
    <row r="16" spans="1:8" x14ac:dyDescent="0.3">
      <c r="A16" s="1">
        <v>42430</v>
      </c>
      <c r="B16">
        <v>119.010002</v>
      </c>
      <c r="C16">
        <v>136.779999</v>
      </c>
      <c r="D16">
        <v>118.25</v>
      </c>
      <c r="E16">
        <v>126.94000200000001</v>
      </c>
      <c r="F16">
        <v>114.89753</v>
      </c>
      <c r="G16">
        <v>107857100</v>
      </c>
      <c r="H16" s="2">
        <f t="shared" si="0"/>
        <v>8.4064038709371902E-2</v>
      </c>
    </row>
    <row r="17" spans="1:8" x14ac:dyDescent="0.3">
      <c r="A17" s="1">
        <v>42461</v>
      </c>
      <c r="B17">
        <v>126.230003</v>
      </c>
      <c r="C17">
        <v>137.88999899999999</v>
      </c>
      <c r="D17">
        <v>125.110001</v>
      </c>
      <c r="E17">
        <v>134.800003</v>
      </c>
      <c r="F17">
        <v>122.01187899999999</v>
      </c>
      <c r="G17">
        <v>96194200</v>
      </c>
      <c r="H17" s="2">
        <f t="shared" si="0"/>
        <v>6.19190769375111E-2</v>
      </c>
    </row>
    <row r="18" spans="1:8" x14ac:dyDescent="0.3">
      <c r="A18" s="1">
        <v>42491</v>
      </c>
      <c r="B18">
        <v>134.38000500000001</v>
      </c>
      <c r="C18">
        <v>135.240005</v>
      </c>
      <c r="D18">
        <v>125.879997</v>
      </c>
      <c r="E18">
        <v>126.150002</v>
      </c>
      <c r="F18">
        <v>114.18248699999999</v>
      </c>
      <c r="G18">
        <v>82271600</v>
      </c>
      <c r="H18" s="2">
        <f t="shared" si="0"/>
        <v>-6.4169096191035627E-2</v>
      </c>
    </row>
    <row r="19" spans="1:8" x14ac:dyDescent="0.3">
      <c r="A19" s="1">
        <v>42522</v>
      </c>
      <c r="B19">
        <v>126</v>
      </c>
      <c r="C19">
        <v>134.550003</v>
      </c>
      <c r="D19">
        <v>122.349998</v>
      </c>
      <c r="E19">
        <v>129.86999499999999</v>
      </c>
      <c r="F19">
        <v>118.508408</v>
      </c>
      <c r="G19">
        <v>102673100</v>
      </c>
      <c r="H19" s="2">
        <f t="shared" si="0"/>
        <v>3.7886028879367539E-2</v>
      </c>
    </row>
    <row r="20" spans="1:8" x14ac:dyDescent="0.3">
      <c r="A20" s="1">
        <v>42552</v>
      </c>
      <c r="B20">
        <v>129.53999300000001</v>
      </c>
      <c r="C20">
        <v>139.449997</v>
      </c>
      <c r="D20">
        <v>123.959999</v>
      </c>
      <c r="E20">
        <v>133.66000399999999</v>
      </c>
      <c r="F20">
        <v>121.96682</v>
      </c>
      <c r="G20">
        <v>76110800</v>
      </c>
      <c r="H20" s="2">
        <f t="shared" si="0"/>
        <v>2.9182840765188539E-2</v>
      </c>
    </row>
    <row r="21" spans="1:8" x14ac:dyDescent="0.3">
      <c r="A21" s="1">
        <v>42583</v>
      </c>
      <c r="B21">
        <v>133.21000699999999</v>
      </c>
      <c r="C21">
        <v>136.36999499999999</v>
      </c>
      <c r="D21">
        <v>129.13999899999999</v>
      </c>
      <c r="E21">
        <v>129.449997</v>
      </c>
      <c r="F21">
        <v>118.125145</v>
      </c>
      <c r="G21">
        <v>61479300</v>
      </c>
      <c r="H21" s="2">
        <f t="shared" si="0"/>
        <v>-3.1497705687497594E-2</v>
      </c>
    </row>
    <row r="22" spans="1:8" x14ac:dyDescent="0.3">
      <c r="A22" s="1">
        <v>42614</v>
      </c>
      <c r="B22">
        <v>130.029999</v>
      </c>
      <c r="C22">
        <v>133.08000200000001</v>
      </c>
      <c r="D22">
        <v>126.30999799999999</v>
      </c>
      <c r="E22">
        <v>131.740005</v>
      </c>
      <c r="F22">
        <v>121.211044</v>
      </c>
      <c r="G22">
        <v>71556000</v>
      </c>
      <c r="H22" s="2">
        <f t="shared" si="0"/>
        <v>2.6123980630880898E-2</v>
      </c>
    </row>
    <row r="23" spans="1:8" x14ac:dyDescent="0.3">
      <c r="A23" s="1">
        <v>42644</v>
      </c>
      <c r="B23">
        <v>131.279999</v>
      </c>
      <c r="C23">
        <v>146.229996</v>
      </c>
      <c r="D23">
        <v>130.740005</v>
      </c>
      <c r="E23">
        <v>142.429993</v>
      </c>
      <c r="F23">
        <v>131.04664600000001</v>
      </c>
      <c r="G23">
        <v>80980500</v>
      </c>
      <c r="H23" s="2">
        <f t="shared" si="0"/>
        <v>8.1144437630617294E-2</v>
      </c>
    </row>
    <row r="24" spans="1:8" x14ac:dyDescent="0.3">
      <c r="A24" s="1">
        <v>42675</v>
      </c>
      <c r="B24">
        <v>142.949997</v>
      </c>
      <c r="C24">
        <v>153.08000200000001</v>
      </c>
      <c r="D24">
        <v>138.800003</v>
      </c>
      <c r="E24">
        <v>150.55999800000001</v>
      </c>
      <c r="F24">
        <v>138.52688599999999</v>
      </c>
      <c r="G24">
        <v>73758100</v>
      </c>
      <c r="H24" s="2">
        <f t="shared" si="0"/>
        <v>5.7080743600259561E-2</v>
      </c>
    </row>
    <row r="25" spans="1:8" x14ac:dyDescent="0.3">
      <c r="A25" s="1">
        <v>42705</v>
      </c>
      <c r="B25">
        <v>150.740005</v>
      </c>
      <c r="C25">
        <v>160.070007</v>
      </c>
      <c r="D25">
        <v>150.020004</v>
      </c>
      <c r="E25">
        <v>155.679993</v>
      </c>
      <c r="F25">
        <v>144.33763099999999</v>
      </c>
      <c r="G25">
        <v>63386600</v>
      </c>
      <c r="H25" s="2">
        <f t="shared" si="0"/>
        <v>4.1946694737655457E-2</v>
      </c>
    </row>
    <row r="26" spans="1:8" x14ac:dyDescent="0.3">
      <c r="A26" s="1">
        <v>42736</v>
      </c>
      <c r="B26">
        <v>156.300003</v>
      </c>
      <c r="C26">
        <v>170</v>
      </c>
      <c r="D26">
        <v>155.21000699999999</v>
      </c>
      <c r="E26">
        <v>163.41999799999999</v>
      </c>
      <c r="F26">
        <v>151.51376300000001</v>
      </c>
      <c r="G26">
        <v>73378000</v>
      </c>
      <c r="H26" s="2">
        <f t="shared" si="0"/>
        <v>4.9717678960658741E-2</v>
      </c>
    </row>
    <row r="27" spans="1:8" x14ac:dyDescent="0.3">
      <c r="A27" s="1">
        <v>42767</v>
      </c>
      <c r="B27">
        <v>164.25</v>
      </c>
      <c r="C27">
        <v>181.929993</v>
      </c>
      <c r="D27">
        <v>160.820007</v>
      </c>
      <c r="E27">
        <v>180.229996</v>
      </c>
      <c r="F27">
        <v>167.09899899999999</v>
      </c>
      <c r="G27">
        <v>67320300</v>
      </c>
      <c r="H27" s="2">
        <f t="shared" si="0"/>
        <v>0.10286350026168896</v>
      </c>
    </row>
    <row r="28" spans="1:8" x14ac:dyDescent="0.3">
      <c r="A28" s="1">
        <v>42795</v>
      </c>
      <c r="B28">
        <v>181.85000600000001</v>
      </c>
      <c r="C28">
        <v>185.71000699999999</v>
      </c>
      <c r="D28">
        <v>173.75</v>
      </c>
      <c r="E28">
        <v>176.86000100000001</v>
      </c>
      <c r="F28">
        <v>165.38504</v>
      </c>
      <c r="G28">
        <v>71329400</v>
      </c>
      <c r="H28" s="2">
        <f t="shared" si="0"/>
        <v>-1.0257147022167311E-2</v>
      </c>
    </row>
    <row r="29" spans="1:8" x14ac:dyDescent="0.3">
      <c r="A29" s="1">
        <v>42826</v>
      </c>
      <c r="B29">
        <v>177.08000200000001</v>
      </c>
      <c r="C29">
        <v>184.929993</v>
      </c>
      <c r="D29">
        <v>175.5</v>
      </c>
      <c r="E29">
        <v>184.83000200000001</v>
      </c>
      <c r="F29">
        <v>172.83793600000001</v>
      </c>
      <c r="G29">
        <v>52177700</v>
      </c>
      <c r="H29" s="2">
        <f t="shared" si="0"/>
        <v>4.5063906626621186E-2</v>
      </c>
    </row>
    <row r="30" spans="1:8" x14ac:dyDescent="0.3">
      <c r="A30" s="1">
        <v>42856</v>
      </c>
      <c r="B30">
        <v>184.229996</v>
      </c>
      <c r="C30">
        <v>188.259995</v>
      </c>
      <c r="D30">
        <v>175.470001</v>
      </c>
      <c r="E30">
        <v>187.63000500000001</v>
      </c>
      <c r="F30">
        <v>175.45626799999999</v>
      </c>
      <c r="G30">
        <v>66022900</v>
      </c>
      <c r="H30" s="2">
        <f t="shared" si="0"/>
        <v>1.5149058479846583E-2</v>
      </c>
    </row>
    <row r="31" spans="1:8" x14ac:dyDescent="0.3">
      <c r="A31" s="1">
        <v>42887</v>
      </c>
      <c r="B31">
        <v>187.41000399999999</v>
      </c>
      <c r="C31">
        <v>204.38999899999999</v>
      </c>
      <c r="D31">
        <v>184.529999</v>
      </c>
      <c r="E31">
        <v>197.75</v>
      </c>
      <c r="F31">
        <v>186.33531199999999</v>
      </c>
      <c r="G31">
        <v>64606400</v>
      </c>
      <c r="H31" s="2">
        <f t="shared" si="0"/>
        <v>6.2004305255141945E-2</v>
      </c>
    </row>
    <row r="32" spans="1:8" x14ac:dyDescent="0.3">
      <c r="A32" s="1">
        <v>42917</v>
      </c>
      <c r="B32">
        <v>198.070007</v>
      </c>
      <c r="C32">
        <v>246.490005</v>
      </c>
      <c r="D32">
        <v>197.75</v>
      </c>
      <c r="E32">
        <v>242.46000699999999</v>
      </c>
      <c r="F32">
        <v>228.464539</v>
      </c>
      <c r="G32">
        <v>75175600</v>
      </c>
      <c r="H32" s="2">
        <f t="shared" si="0"/>
        <v>0.22609362953169079</v>
      </c>
    </row>
    <row r="33" spans="1:8" x14ac:dyDescent="0.3">
      <c r="A33" s="1">
        <v>42948</v>
      </c>
      <c r="B33">
        <v>243.38000500000001</v>
      </c>
      <c r="C33">
        <v>243.990005</v>
      </c>
      <c r="D33">
        <v>230.94000199999999</v>
      </c>
      <c r="E33">
        <v>239.66000399999999</v>
      </c>
      <c r="F33">
        <v>225.82614100000001</v>
      </c>
      <c r="G33">
        <v>84525400</v>
      </c>
      <c r="H33" s="2">
        <f t="shared" si="0"/>
        <v>-1.1548391761576597E-2</v>
      </c>
    </row>
    <row r="34" spans="1:8" x14ac:dyDescent="0.3">
      <c r="A34" s="1">
        <v>42979</v>
      </c>
      <c r="B34">
        <v>239.66000399999999</v>
      </c>
      <c r="C34">
        <v>259.29998799999998</v>
      </c>
      <c r="D34">
        <v>234.28999300000001</v>
      </c>
      <c r="E34">
        <v>254.21000699999999</v>
      </c>
      <c r="F34">
        <v>240.964966</v>
      </c>
      <c r="G34">
        <v>76743100</v>
      </c>
      <c r="H34" s="2">
        <f t="shared" si="0"/>
        <v>6.7037522462910962E-2</v>
      </c>
    </row>
    <row r="35" spans="1:8" x14ac:dyDescent="0.3">
      <c r="A35" s="1">
        <v>43009</v>
      </c>
      <c r="B35">
        <v>254.64999399999999</v>
      </c>
      <c r="C35">
        <v>267.209991</v>
      </c>
      <c r="D35">
        <v>253.529999</v>
      </c>
      <c r="E35">
        <v>257.98001099999999</v>
      </c>
      <c r="F35">
        <v>244.53852800000001</v>
      </c>
      <c r="G35">
        <v>68772900</v>
      </c>
      <c r="H35" s="2">
        <f t="shared" si="0"/>
        <v>1.483021394902697E-2</v>
      </c>
    </row>
    <row r="36" spans="1:8" x14ac:dyDescent="0.3">
      <c r="A36" s="1">
        <v>43040</v>
      </c>
      <c r="B36">
        <v>258.290009</v>
      </c>
      <c r="C36">
        <v>277.040009</v>
      </c>
      <c r="D36">
        <v>256.23998999999998</v>
      </c>
      <c r="E36">
        <v>276.79998799999998</v>
      </c>
      <c r="F36">
        <v>262.37792999999999</v>
      </c>
      <c r="G36">
        <v>52751800</v>
      </c>
      <c r="H36" s="2">
        <f t="shared" si="0"/>
        <v>7.2951293793671559E-2</v>
      </c>
    </row>
    <row r="37" spans="1:8" x14ac:dyDescent="0.3">
      <c r="A37" s="1">
        <v>43070</v>
      </c>
      <c r="B37">
        <v>277.51001000000002</v>
      </c>
      <c r="C37">
        <v>299.32998700000002</v>
      </c>
      <c r="D37">
        <v>270.60000600000001</v>
      </c>
      <c r="E37">
        <v>294.91000400000001</v>
      </c>
      <c r="F37">
        <v>281.04718000000003</v>
      </c>
      <c r="G37">
        <v>71520900</v>
      </c>
      <c r="H37" s="2">
        <f t="shared" si="0"/>
        <v>7.1154041043010111E-2</v>
      </c>
    </row>
    <row r="38" spans="1:8" x14ac:dyDescent="0.3">
      <c r="A38" s="1">
        <v>43101</v>
      </c>
      <c r="B38">
        <v>295.75</v>
      </c>
      <c r="C38">
        <v>360.97000100000002</v>
      </c>
      <c r="D38">
        <v>295.39999399999999</v>
      </c>
      <c r="E38">
        <v>354.36999500000002</v>
      </c>
      <c r="F38">
        <v>337.71209700000003</v>
      </c>
      <c r="G38">
        <v>125945500</v>
      </c>
      <c r="H38" s="2">
        <f t="shared" si="0"/>
        <v>0.20162065671678328</v>
      </c>
    </row>
    <row r="39" spans="1:8" x14ac:dyDescent="0.3">
      <c r="A39" s="1">
        <v>43132</v>
      </c>
      <c r="B39">
        <v>352.95001200000002</v>
      </c>
      <c r="C39">
        <v>371.60000600000001</v>
      </c>
      <c r="D39">
        <v>317.39001500000001</v>
      </c>
      <c r="E39">
        <v>362.209991</v>
      </c>
      <c r="F39">
        <v>345.18356299999999</v>
      </c>
      <c r="G39">
        <v>116097000</v>
      </c>
      <c r="H39" s="2">
        <f t="shared" si="0"/>
        <v>2.2123773671038984E-2</v>
      </c>
    </row>
    <row r="40" spans="1:8" x14ac:dyDescent="0.3">
      <c r="A40" s="1">
        <v>43160</v>
      </c>
      <c r="B40">
        <v>362.32998700000002</v>
      </c>
      <c r="C40">
        <v>362.73998999999998</v>
      </c>
      <c r="D40">
        <v>311.17001299999998</v>
      </c>
      <c r="E40">
        <v>327.88000499999998</v>
      </c>
      <c r="F40">
        <v>314.009705</v>
      </c>
      <c r="G40">
        <v>138587800</v>
      </c>
      <c r="H40" s="2">
        <f t="shared" si="0"/>
        <v>-9.0310957245666984E-2</v>
      </c>
    </row>
    <row r="41" spans="1:8" x14ac:dyDescent="0.3">
      <c r="A41" s="1">
        <v>43191</v>
      </c>
      <c r="B41">
        <v>325.20001200000002</v>
      </c>
      <c r="C41">
        <v>347.67001299999998</v>
      </c>
      <c r="D41">
        <v>311.88000499999998</v>
      </c>
      <c r="E41">
        <v>333.55999800000001</v>
      </c>
      <c r="F41">
        <v>319.44946299999998</v>
      </c>
      <c r="G41">
        <v>103765100</v>
      </c>
      <c r="H41" s="2">
        <f t="shared" si="0"/>
        <v>1.732353463406484E-2</v>
      </c>
    </row>
    <row r="42" spans="1:8" x14ac:dyDescent="0.3">
      <c r="A42" s="1">
        <v>43221</v>
      </c>
      <c r="B42">
        <v>332.5</v>
      </c>
      <c r="C42">
        <v>365</v>
      </c>
      <c r="D42">
        <v>319.13000499999998</v>
      </c>
      <c r="E42">
        <v>352.16000400000001</v>
      </c>
      <c r="F42">
        <v>337.26263399999999</v>
      </c>
      <c r="G42">
        <v>85713100</v>
      </c>
      <c r="H42" s="2">
        <f t="shared" si="0"/>
        <v>5.5762094049912406E-2</v>
      </c>
    </row>
    <row r="43" spans="1:8" x14ac:dyDescent="0.3">
      <c r="A43" s="1">
        <v>43252</v>
      </c>
      <c r="B43">
        <v>355.790009</v>
      </c>
      <c r="C43">
        <v>374.48001099999999</v>
      </c>
      <c r="D43">
        <v>327.290009</v>
      </c>
      <c r="E43">
        <v>335.51001000000002</v>
      </c>
      <c r="F43">
        <v>322.91992199999999</v>
      </c>
      <c r="G43">
        <v>84391800</v>
      </c>
      <c r="H43" s="2">
        <f t="shared" si="0"/>
        <v>-4.252683385020354E-2</v>
      </c>
    </row>
    <row r="44" spans="1:8" x14ac:dyDescent="0.3">
      <c r="A44" s="1">
        <v>43282</v>
      </c>
      <c r="B44">
        <v>330.69000199999999</v>
      </c>
      <c r="C44">
        <v>364.540009</v>
      </c>
      <c r="D44">
        <v>329.10000600000001</v>
      </c>
      <c r="E44">
        <v>356.29998799999998</v>
      </c>
      <c r="F44">
        <v>342.92971799999998</v>
      </c>
      <c r="G44">
        <v>60241500</v>
      </c>
      <c r="H44" s="2">
        <f t="shared" si="0"/>
        <v>6.1965195197836061E-2</v>
      </c>
    </row>
    <row r="45" spans="1:8" x14ac:dyDescent="0.3">
      <c r="A45" s="1">
        <v>43313</v>
      </c>
      <c r="B45">
        <v>354.08999599999999</v>
      </c>
      <c r="C45">
        <v>357.91000400000001</v>
      </c>
      <c r="D45">
        <v>328.02999899999998</v>
      </c>
      <c r="E45">
        <v>342.790009</v>
      </c>
      <c r="F45">
        <v>329.92669699999999</v>
      </c>
      <c r="G45">
        <v>62969600</v>
      </c>
      <c r="H45" s="2">
        <f t="shared" si="0"/>
        <v>-3.7917451645295995E-2</v>
      </c>
    </row>
    <row r="46" spans="1:8" x14ac:dyDescent="0.3">
      <c r="A46" s="1">
        <v>43344</v>
      </c>
      <c r="B46">
        <v>341.60000600000001</v>
      </c>
      <c r="C46">
        <v>374.22000100000002</v>
      </c>
      <c r="D46">
        <v>337.30999800000001</v>
      </c>
      <c r="E46">
        <v>371.89999399999999</v>
      </c>
      <c r="F46">
        <v>359.71295199999997</v>
      </c>
      <c r="G46">
        <v>64530500</v>
      </c>
      <c r="H46" s="2">
        <f t="shared" si="0"/>
        <v>9.0281433029955699E-2</v>
      </c>
    </row>
    <row r="47" spans="1:8" x14ac:dyDescent="0.3">
      <c r="A47" s="1">
        <v>43374</v>
      </c>
      <c r="B47">
        <v>375.16000400000001</v>
      </c>
      <c r="C47">
        <v>394.27999899999998</v>
      </c>
      <c r="D47">
        <v>328.63000499999998</v>
      </c>
      <c r="E47">
        <v>354.85998499999999</v>
      </c>
      <c r="F47">
        <v>343.23138399999999</v>
      </c>
      <c r="G47">
        <v>100261700</v>
      </c>
      <c r="H47" s="2">
        <f t="shared" si="0"/>
        <v>-4.5818667102095291E-2</v>
      </c>
    </row>
    <row r="48" spans="1:8" x14ac:dyDescent="0.3">
      <c r="A48" s="1">
        <v>43405</v>
      </c>
      <c r="B48">
        <v>357.47000100000002</v>
      </c>
      <c r="C48">
        <v>373.70001200000002</v>
      </c>
      <c r="D48">
        <v>296.60998499999999</v>
      </c>
      <c r="E48">
        <v>346.76001000000002</v>
      </c>
      <c r="F48">
        <v>335.39685100000003</v>
      </c>
      <c r="G48">
        <v>85447700</v>
      </c>
      <c r="H48" s="2">
        <f t="shared" si="0"/>
        <v>-2.2825806045754734E-2</v>
      </c>
    </row>
    <row r="49" spans="1:8" x14ac:dyDescent="0.3">
      <c r="A49" s="1">
        <v>43435</v>
      </c>
      <c r="B49">
        <v>364.30999800000001</v>
      </c>
      <c r="C49">
        <v>369</v>
      </c>
      <c r="D49">
        <v>292.47000100000002</v>
      </c>
      <c r="E49">
        <v>322.5</v>
      </c>
      <c r="F49">
        <v>313.372253</v>
      </c>
      <c r="G49">
        <v>91168000</v>
      </c>
      <c r="H49" s="2">
        <f t="shared" si="0"/>
        <v>-6.5667277239880903E-2</v>
      </c>
    </row>
    <row r="50" spans="1:8" x14ac:dyDescent="0.3">
      <c r="A50" s="1">
        <v>43466</v>
      </c>
      <c r="B50">
        <v>316.19000199999999</v>
      </c>
      <c r="C50">
        <v>391.97000100000002</v>
      </c>
      <c r="D50">
        <v>309.39999399999999</v>
      </c>
      <c r="E50">
        <v>385.61999500000002</v>
      </c>
      <c r="F50">
        <v>374.70575000000002</v>
      </c>
      <c r="G50">
        <v>90783300</v>
      </c>
      <c r="H50" s="2">
        <f t="shared" si="0"/>
        <v>0.19572089236630666</v>
      </c>
    </row>
    <row r="51" spans="1:8" x14ac:dyDescent="0.3">
      <c r="A51" s="1">
        <v>43497</v>
      </c>
      <c r="B51">
        <v>386.10998499999999</v>
      </c>
      <c r="C51">
        <v>441.42001299999998</v>
      </c>
      <c r="D51">
        <v>384.73001099999999</v>
      </c>
      <c r="E51">
        <v>439.959991</v>
      </c>
      <c r="F51">
        <v>427.507721</v>
      </c>
      <c r="G51">
        <v>76882600</v>
      </c>
      <c r="H51" s="2">
        <f t="shared" si="0"/>
        <v>0.14091582795300039</v>
      </c>
    </row>
    <row r="52" spans="1:8" x14ac:dyDescent="0.3">
      <c r="A52" s="1">
        <v>43525</v>
      </c>
      <c r="B52">
        <v>446.01001000000002</v>
      </c>
      <c r="C52">
        <v>446.01001000000002</v>
      </c>
      <c r="D52">
        <v>361.52999899999998</v>
      </c>
      <c r="E52">
        <v>381.42001299999998</v>
      </c>
      <c r="F52">
        <v>372.48657200000002</v>
      </c>
      <c r="G52">
        <v>256769400</v>
      </c>
      <c r="H52" s="2">
        <f t="shared" si="0"/>
        <v>-0.12870211763964839</v>
      </c>
    </row>
    <row r="53" spans="1:8" x14ac:dyDescent="0.3">
      <c r="A53" s="1">
        <v>43556</v>
      </c>
      <c r="B53">
        <v>385.79998799999998</v>
      </c>
      <c r="C53">
        <v>398.66000400000001</v>
      </c>
      <c r="D53">
        <v>362.92001299999998</v>
      </c>
      <c r="E53">
        <v>377.69000199999999</v>
      </c>
      <c r="F53">
        <v>368.84390300000001</v>
      </c>
      <c r="G53">
        <v>141408400</v>
      </c>
      <c r="H53" s="2">
        <f t="shared" si="0"/>
        <v>-9.7793297096358464E-3</v>
      </c>
    </row>
    <row r="54" spans="1:8" x14ac:dyDescent="0.3">
      <c r="A54" s="1">
        <v>43586</v>
      </c>
      <c r="B54">
        <v>378.52999899999998</v>
      </c>
      <c r="C54">
        <v>381.20001200000002</v>
      </c>
      <c r="D54">
        <v>337</v>
      </c>
      <c r="E54">
        <v>341.60998499999999</v>
      </c>
      <c r="F54">
        <v>333.60891700000002</v>
      </c>
      <c r="G54">
        <v>102803500</v>
      </c>
      <c r="H54" s="2">
        <f t="shared" si="0"/>
        <v>-9.5528177945779932E-2</v>
      </c>
    </row>
    <row r="55" spans="1:8" x14ac:dyDescent="0.3">
      <c r="A55" s="1">
        <v>43617</v>
      </c>
      <c r="B55">
        <v>338.20001200000002</v>
      </c>
      <c r="C55">
        <v>379.30999800000001</v>
      </c>
      <c r="D55">
        <v>330.67001299999998</v>
      </c>
      <c r="E55">
        <v>364.01001000000002</v>
      </c>
      <c r="F55">
        <v>357.526611</v>
      </c>
      <c r="G55">
        <v>80830700</v>
      </c>
      <c r="H55" s="2">
        <f t="shared" si="0"/>
        <v>7.169380907165615E-2</v>
      </c>
    </row>
    <row r="56" spans="1:8" x14ac:dyDescent="0.3">
      <c r="A56" s="1">
        <v>43647</v>
      </c>
      <c r="B56">
        <v>364.88000499999998</v>
      </c>
      <c r="C56">
        <v>382.48001099999999</v>
      </c>
      <c r="D56">
        <v>336.55999800000001</v>
      </c>
      <c r="E56">
        <v>341.17999300000002</v>
      </c>
      <c r="F56">
        <v>335.10320999999999</v>
      </c>
      <c r="G56">
        <v>104138400</v>
      </c>
      <c r="H56" s="2">
        <f t="shared" si="0"/>
        <v>-6.271813149035782E-2</v>
      </c>
    </row>
    <row r="57" spans="1:8" x14ac:dyDescent="0.3">
      <c r="A57" s="1">
        <v>43678</v>
      </c>
      <c r="B57">
        <v>341.91000400000001</v>
      </c>
      <c r="C57">
        <v>369.69000199999999</v>
      </c>
      <c r="D57">
        <v>319.54998799999998</v>
      </c>
      <c r="E57">
        <v>364.08999599999999</v>
      </c>
      <c r="F57">
        <v>357.605164</v>
      </c>
      <c r="G57">
        <v>95853200</v>
      </c>
      <c r="H57" s="2">
        <f t="shared" si="0"/>
        <v>6.7149323935154229E-2</v>
      </c>
    </row>
    <row r="58" spans="1:8" x14ac:dyDescent="0.3">
      <c r="A58" s="1">
        <v>43709</v>
      </c>
      <c r="B58">
        <v>354.10998499999999</v>
      </c>
      <c r="C58">
        <v>391</v>
      </c>
      <c r="D58">
        <v>350.60998499999999</v>
      </c>
      <c r="E58">
        <v>380.47000100000002</v>
      </c>
      <c r="F58">
        <v>376.02526899999998</v>
      </c>
      <c r="G58">
        <v>78398300</v>
      </c>
      <c r="H58" s="2">
        <f t="shared" si="0"/>
        <v>5.1509616902512004E-2</v>
      </c>
    </row>
    <row r="59" spans="1:8" x14ac:dyDescent="0.3">
      <c r="A59" s="1">
        <v>43739</v>
      </c>
      <c r="B59">
        <v>381.70001200000002</v>
      </c>
      <c r="C59">
        <v>382.85000600000001</v>
      </c>
      <c r="D59">
        <v>324.39999399999999</v>
      </c>
      <c r="E59">
        <v>339.91000400000001</v>
      </c>
      <c r="F59">
        <v>335.93911700000001</v>
      </c>
      <c r="G59">
        <v>112287600</v>
      </c>
      <c r="H59" s="2">
        <f t="shared" si="0"/>
        <v>-0.10660494202053206</v>
      </c>
    </row>
    <row r="60" spans="1:8" x14ac:dyDescent="0.3">
      <c r="A60" s="1">
        <v>43770</v>
      </c>
      <c r="B60">
        <v>340.58999599999999</v>
      </c>
      <c r="C60">
        <v>375.60000600000001</v>
      </c>
      <c r="D60">
        <v>339.5</v>
      </c>
      <c r="E60">
        <v>366.17999300000002</v>
      </c>
      <c r="F60">
        <v>361.90222199999999</v>
      </c>
      <c r="G60">
        <v>86725600</v>
      </c>
      <c r="H60" s="2">
        <f t="shared" si="0"/>
        <v>7.7285149856484214E-2</v>
      </c>
    </row>
    <row r="61" spans="1:8" x14ac:dyDescent="0.3">
      <c r="A61" s="1">
        <v>43800</v>
      </c>
      <c r="B61">
        <v>367.07998700000002</v>
      </c>
      <c r="C61">
        <v>367.38000499999998</v>
      </c>
      <c r="D61">
        <v>320.60998499999999</v>
      </c>
      <c r="E61">
        <v>325.76001000000002</v>
      </c>
      <c r="F61">
        <v>323.83331299999998</v>
      </c>
      <c r="G61">
        <v>127581300</v>
      </c>
      <c r="H61" s="2">
        <f t="shared" si="0"/>
        <v>-0.10519114469543107</v>
      </c>
    </row>
    <row r="62" spans="1:8" x14ac:dyDescent="0.3">
      <c r="A62" s="1">
        <v>43831</v>
      </c>
      <c r="B62">
        <v>328.54998799999998</v>
      </c>
      <c r="C62">
        <v>344.19000199999999</v>
      </c>
      <c r="D62">
        <v>302.72000100000002</v>
      </c>
      <c r="E62">
        <v>318.26998900000001</v>
      </c>
      <c r="F62">
        <v>316.38757299999997</v>
      </c>
      <c r="G62">
        <v>181565800</v>
      </c>
      <c r="H62" s="2">
        <f t="shared" si="0"/>
        <v>-2.2992507877038583E-2</v>
      </c>
    </row>
    <row r="63" spans="1:8" x14ac:dyDescent="0.3">
      <c r="A63" s="1">
        <v>43862</v>
      </c>
      <c r="B63">
        <v>318.75</v>
      </c>
      <c r="C63">
        <v>349.95001200000002</v>
      </c>
      <c r="D63">
        <v>269.60000600000001</v>
      </c>
      <c r="E63">
        <v>275.10998499999999</v>
      </c>
      <c r="F63">
        <v>273.48284899999999</v>
      </c>
      <c r="G63">
        <v>118286400</v>
      </c>
      <c r="H63" s="2">
        <f t="shared" si="0"/>
        <v>-0.13560812010780204</v>
      </c>
    </row>
    <row r="64" spans="1:8" x14ac:dyDescent="0.3">
      <c r="A64" s="1">
        <v>43891</v>
      </c>
      <c r="B64">
        <v>279.540009</v>
      </c>
      <c r="C64">
        <v>297.44000199999999</v>
      </c>
      <c r="D64">
        <v>89</v>
      </c>
      <c r="E64">
        <v>149.13999899999999</v>
      </c>
      <c r="F64">
        <v>149.13999899999999</v>
      </c>
      <c r="G64">
        <v>743744400</v>
      </c>
      <c r="H64" s="2">
        <f t="shared" si="0"/>
        <v>-0.45466416067648907</v>
      </c>
    </row>
    <row r="65" spans="1:8" x14ac:dyDescent="0.3">
      <c r="A65" s="1">
        <v>43922</v>
      </c>
      <c r="B65">
        <v>138.91000399999999</v>
      </c>
      <c r="C65">
        <v>164.800003</v>
      </c>
      <c r="D65">
        <v>120.019997</v>
      </c>
      <c r="E65">
        <v>141.020004</v>
      </c>
      <c r="F65">
        <v>141.020004</v>
      </c>
      <c r="G65">
        <v>818969800</v>
      </c>
      <c r="H65" s="2">
        <f t="shared" si="0"/>
        <v>-5.4445454300961808E-2</v>
      </c>
    </row>
    <row r="66" spans="1:8" x14ac:dyDescent="0.3">
      <c r="A66" s="1">
        <v>43952</v>
      </c>
      <c r="B66">
        <v>143.229996</v>
      </c>
      <c r="C66">
        <v>156.699997</v>
      </c>
      <c r="D66">
        <v>113.889999</v>
      </c>
      <c r="E66">
        <v>145.85000600000001</v>
      </c>
      <c r="F66">
        <v>145.85000600000001</v>
      </c>
      <c r="G66">
        <v>611763200</v>
      </c>
      <c r="H66" s="2">
        <f t="shared" ref="H66:H115" si="1">(F66-F65)/F65</f>
        <v>3.4250474138406685E-2</v>
      </c>
    </row>
    <row r="67" spans="1:8" x14ac:dyDescent="0.3">
      <c r="A67" s="1">
        <v>43983</v>
      </c>
      <c r="B67">
        <v>145.449997</v>
      </c>
      <c r="C67">
        <v>234.199997</v>
      </c>
      <c r="D67">
        <v>144.550003</v>
      </c>
      <c r="E67">
        <v>183.300003</v>
      </c>
      <c r="F67">
        <v>183.300003</v>
      </c>
      <c r="G67">
        <v>1465133000</v>
      </c>
      <c r="H67" s="2">
        <f t="shared" si="1"/>
        <v>0.25677062365016284</v>
      </c>
    </row>
    <row r="68" spans="1:8" x14ac:dyDescent="0.3">
      <c r="A68" s="1">
        <v>44013</v>
      </c>
      <c r="B68">
        <v>185.88000500000001</v>
      </c>
      <c r="C68">
        <v>190.61000100000001</v>
      </c>
      <c r="D68">
        <v>156.259995</v>
      </c>
      <c r="E68">
        <v>158</v>
      </c>
      <c r="F68">
        <v>158</v>
      </c>
      <c r="G68">
        <v>802544400</v>
      </c>
      <c r="H68" s="2">
        <f t="shared" si="1"/>
        <v>-0.13802510957951269</v>
      </c>
    </row>
    <row r="69" spans="1:8" x14ac:dyDescent="0.3">
      <c r="A69" s="1">
        <v>44044</v>
      </c>
      <c r="B69">
        <v>156.509995</v>
      </c>
      <c r="C69">
        <v>189.970001</v>
      </c>
      <c r="D69">
        <v>153.41000399999999</v>
      </c>
      <c r="E69">
        <v>171.820007</v>
      </c>
      <c r="F69">
        <v>171.820007</v>
      </c>
      <c r="G69">
        <v>624367500</v>
      </c>
      <c r="H69" s="2">
        <f t="shared" si="1"/>
        <v>8.7468398734177236E-2</v>
      </c>
    </row>
    <row r="70" spans="1:8" x14ac:dyDescent="0.3">
      <c r="A70" s="1">
        <v>44075</v>
      </c>
      <c r="B70">
        <v>170.71000699999999</v>
      </c>
      <c r="C70">
        <v>180.85000600000001</v>
      </c>
      <c r="D70">
        <v>145.020004</v>
      </c>
      <c r="E70">
        <v>165.259995</v>
      </c>
      <c r="F70">
        <v>165.259995</v>
      </c>
      <c r="G70">
        <v>464304000</v>
      </c>
      <c r="H70" s="2">
        <f t="shared" si="1"/>
        <v>-3.8179558449209006E-2</v>
      </c>
    </row>
    <row r="71" spans="1:8" x14ac:dyDescent="0.3">
      <c r="A71" s="1">
        <v>44105</v>
      </c>
      <c r="B71">
        <v>170.14999399999999</v>
      </c>
      <c r="C71">
        <v>175.55999800000001</v>
      </c>
      <c r="D71">
        <v>141.58000200000001</v>
      </c>
      <c r="E71">
        <v>144.38999899999999</v>
      </c>
      <c r="F71">
        <v>144.38999899999999</v>
      </c>
      <c r="G71">
        <v>421965600</v>
      </c>
      <c r="H71" s="2">
        <f t="shared" si="1"/>
        <v>-0.1262858322124481</v>
      </c>
    </row>
    <row r="72" spans="1:8" x14ac:dyDescent="0.3">
      <c r="A72" s="1">
        <v>44136</v>
      </c>
      <c r="B72">
        <v>145.75</v>
      </c>
      <c r="C72">
        <v>223.020004</v>
      </c>
      <c r="D72">
        <v>143.38000500000001</v>
      </c>
      <c r="E72">
        <v>210.71000699999999</v>
      </c>
      <c r="F72">
        <v>210.71000699999999</v>
      </c>
      <c r="G72">
        <v>526662800</v>
      </c>
      <c r="H72" s="2">
        <f t="shared" si="1"/>
        <v>0.4593116452615254</v>
      </c>
    </row>
    <row r="73" spans="1:8" x14ac:dyDescent="0.3">
      <c r="A73" s="1">
        <v>44166</v>
      </c>
      <c r="B73">
        <v>214.30999800000001</v>
      </c>
      <c r="C73">
        <v>244.08000200000001</v>
      </c>
      <c r="D73">
        <v>210.300003</v>
      </c>
      <c r="E73">
        <v>214.05999800000001</v>
      </c>
      <c r="F73">
        <v>214.05999800000001</v>
      </c>
      <c r="G73">
        <v>409359400</v>
      </c>
      <c r="H73" s="2">
        <f t="shared" si="1"/>
        <v>1.589858520578008E-2</v>
      </c>
    </row>
    <row r="74" spans="1:8" x14ac:dyDescent="0.3">
      <c r="A74" s="1">
        <v>44197</v>
      </c>
      <c r="B74">
        <v>210</v>
      </c>
      <c r="C74">
        <v>216.60000600000001</v>
      </c>
      <c r="D74">
        <v>191.85000600000001</v>
      </c>
      <c r="E74">
        <v>194.19000199999999</v>
      </c>
      <c r="F74">
        <v>194.19000199999999</v>
      </c>
      <c r="G74">
        <v>257714800</v>
      </c>
      <c r="H74" s="2">
        <f t="shared" si="1"/>
        <v>-9.2824423926230318E-2</v>
      </c>
    </row>
    <row r="75" spans="1:8" x14ac:dyDescent="0.3">
      <c r="A75" s="1">
        <v>44228</v>
      </c>
      <c r="B75">
        <v>196</v>
      </c>
      <c r="C75">
        <v>229.61000100000001</v>
      </c>
      <c r="D75">
        <v>192.86000100000001</v>
      </c>
      <c r="E75">
        <v>212.009995</v>
      </c>
      <c r="F75">
        <v>212.009995</v>
      </c>
      <c r="G75">
        <v>244129700</v>
      </c>
      <c r="H75" s="2">
        <f t="shared" si="1"/>
        <v>9.1765759392700416E-2</v>
      </c>
    </row>
    <row r="76" spans="1:8" x14ac:dyDescent="0.3">
      <c r="A76" s="1">
        <v>44256</v>
      </c>
      <c r="B76">
        <v>219.60000600000001</v>
      </c>
      <c r="C76">
        <v>278.57000699999998</v>
      </c>
      <c r="D76">
        <v>213.800003</v>
      </c>
      <c r="E76">
        <v>254.720001</v>
      </c>
      <c r="F76">
        <v>254.720001</v>
      </c>
      <c r="G76">
        <v>518525300</v>
      </c>
      <c r="H76" s="2">
        <f t="shared" si="1"/>
        <v>0.20145279471375863</v>
      </c>
    </row>
    <row r="77" spans="1:8" x14ac:dyDescent="0.3">
      <c r="A77" s="1">
        <v>44287</v>
      </c>
      <c r="B77">
        <v>256.67001299999998</v>
      </c>
      <c r="C77">
        <v>260.48001099999999</v>
      </c>
      <c r="D77">
        <v>230.220001</v>
      </c>
      <c r="E77">
        <v>234.30999800000001</v>
      </c>
      <c r="F77">
        <v>234.30999800000001</v>
      </c>
      <c r="G77">
        <v>260859300</v>
      </c>
      <c r="H77" s="2">
        <f t="shared" si="1"/>
        <v>-8.0127209955530701E-2</v>
      </c>
    </row>
    <row r="78" spans="1:8" x14ac:dyDescent="0.3">
      <c r="A78" s="1">
        <v>44317</v>
      </c>
      <c r="B78">
        <v>234.11000100000001</v>
      </c>
      <c r="C78">
        <v>252.60000600000001</v>
      </c>
      <c r="D78">
        <v>219.070007</v>
      </c>
      <c r="E78">
        <v>247.020004</v>
      </c>
      <c r="F78">
        <v>247.020004</v>
      </c>
      <c r="G78">
        <v>258429700</v>
      </c>
      <c r="H78" s="2">
        <f t="shared" si="1"/>
        <v>5.4244403177366729E-2</v>
      </c>
    </row>
    <row r="79" spans="1:8" x14ac:dyDescent="0.3">
      <c r="A79" s="1">
        <v>44348</v>
      </c>
      <c r="B79">
        <v>253</v>
      </c>
      <c r="C79">
        <v>258.39999399999999</v>
      </c>
      <c r="D79">
        <v>235.66000399999999</v>
      </c>
      <c r="E79">
        <v>239.55999800000001</v>
      </c>
      <c r="F79">
        <v>239.55999800000001</v>
      </c>
      <c r="G79">
        <v>263280000</v>
      </c>
      <c r="H79" s="2">
        <f t="shared" si="1"/>
        <v>-3.0200007607481025E-2</v>
      </c>
    </row>
    <row r="80" spans="1:8" x14ac:dyDescent="0.3">
      <c r="A80" s="1">
        <v>44378</v>
      </c>
      <c r="B80">
        <v>240.36000100000001</v>
      </c>
      <c r="C80">
        <v>241.800003</v>
      </c>
      <c r="D80">
        <v>204.800003</v>
      </c>
      <c r="E80">
        <v>226.479996</v>
      </c>
      <c r="F80">
        <v>226.479996</v>
      </c>
      <c r="G80">
        <v>272388100</v>
      </c>
      <c r="H80" s="2">
        <f t="shared" si="1"/>
        <v>-5.4600108988145872E-2</v>
      </c>
    </row>
    <row r="81" spans="1:8" x14ac:dyDescent="0.3">
      <c r="A81" s="1">
        <v>44409</v>
      </c>
      <c r="B81">
        <v>227.19000199999999</v>
      </c>
      <c r="C81">
        <v>241.14999399999999</v>
      </c>
      <c r="D81">
        <v>210.94000199999999</v>
      </c>
      <c r="E81">
        <v>219.5</v>
      </c>
      <c r="F81">
        <v>219.5</v>
      </c>
      <c r="G81">
        <v>187951900</v>
      </c>
      <c r="H81" s="2">
        <f t="shared" si="1"/>
        <v>-3.081948129317346E-2</v>
      </c>
    </row>
    <row r="82" spans="1:8" x14ac:dyDescent="0.3">
      <c r="A82" s="1">
        <v>44440</v>
      </c>
      <c r="B82">
        <v>220</v>
      </c>
      <c r="C82">
        <v>229.94000199999999</v>
      </c>
      <c r="D82">
        <v>206.529999</v>
      </c>
      <c r="E82">
        <v>219.94000199999999</v>
      </c>
      <c r="F82">
        <v>219.94000199999999</v>
      </c>
      <c r="G82">
        <v>194135500</v>
      </c>
      <c r="H82" s="2">
        <f t="shared" si="1"/>
        <v>2.0045649202733154E-3</v>
      </c>
    </row>
    <row r="83" spans="1:8" x14ac:dyDescent="0.3">
      <c r="A83" s="1">
        <v>44470</v>
      </c>
      <c r="B83">
        <v>222.85000600000001</v>
      </c>
      <c r="C83">
        <v>232.10000600000001</v>
      </c>
      <c r="D83">
        <v>204.60000600000001</v>
      </c>
      <c r="E83">
        <v>207.029999</v>
      </c>
      <c r="F83">
        <v>207.029999</v>
      </c>
      <c r="G83">
        <v>171554300</v>
      </c>
      <c r="H83" s="2">
        <f t="shared" si="1"/>
        <v>-5.8697839786324951E-2</v>
      </c>
    </row>
    <row r="84" spans="1:8" x14ac:dyDescent="0.3">
      <c r="A84" s="1">
        <v>44501</v>
      </c>
      <c r="B84">
        <v>207</v>
      </c>
      <c r="C84">
        <v>233.94000199999999</v>
      </c>
      <c r="D84">
        <v>193.85000600000001</v>
      </c>
      <c r="E84">
        <v>197.85000600000001</v>
      </c>
      <c r="F84">
        <v>197.85000600000001</v>
      </c>
      <c r="G84">
        <v>222628900</v>
      </c>
      <c r="H84" s="2">
        <f t="shared" si="1"/>
        <v>-4.4341366199784391E-2</v>
      </c>
    </row>
    <row r="85" spans="1:8" x14ac:dyDescent="0.3">
      <c r="A85" s="1">
        <v>44531</v>
      </c>
      <c r="B85">
        <v>200.80999800000001</v>
      </c>
      <c r="C85">
        <v>212.679993</v>
      </c>
      <c r="D85">
        <v>185.259995</v>
      </c>
      <c r="E85">
        <v>201.320007</v>
      </c>
      <c r="F85">
        <v>201.320007</v>
      </c>
      <c r="G85">
        <v>212678500</v>
      </c>
      <c r="H85" s="2">
        <f t="shared" si="1"/>
        <v>1.7538543819907673E-2</v>
      </c>
    </row>
    <row r="86" spans="1:8" x14ac:dyDescent="0.3">
      <c r="A86" s="1">
        <v>44562</v>
      </c>
      <c r="B86">
        <v>204</v>
      </c>
      <c r="C86">
        <v>229.66999799999999</v>
      </c>
      <c r="D86">
        <v>183.770004</v>
      </c>
      <c r="E86">
        <v>200.240005</v>
      </c>
      <c r="F86">
        <v>200.240005</v>
      </c>
      <c r="G86">
        <v>219087100</v>
      </c>
      <c r="H86" s="2">
        <f t="shared" si="1"/>
        <v>-5.3646034296035341E-3</v>
      </c>
    </row>
    <row r="87" spans="1:8" x14ac:dyDescent="0.3">
      <c r="A87" s="1">
        <v>44593</v>
      </c>
      <c r="B87">
        <v>202.479996</v>
      </c>
      <c r="C87">
        <v>223.229996</v>
      </c>
      <c r="D87">
        <v>186.88000500000001</v>
      </c>
      <c r="E87">
        <v>205.33999600000001</v>
      </c>
      <c r="F87">
        <v>205.33999600000001</v>
      </c>
      <c r="G87">
        <v>167301100</v>
      </c>
      <c r="H87" s="2">
        <f t="shared" si="1"/>
        <v>2.5469391093952565E-2</v>
      </c>
    </row>
    <row r="88" spans="1:8" x14ac:dyDescent="0.3">
      <c r="A88" s="1">
        <v>44621</v>
      </c>
      <c r="B88">
        <v>203.11000100000001</v>
      </c>
      <c r="C88">
        <v>203.5</v>
      </c>
      <c r="D88">
        <v>167.58000200000001</v>
      </c>
      <c r="E88">
        <v>191.5</v>
      </c>
      <c r="F88">
        <v>191.5</v>
      </c>
      <c r="G88">
        <v>243634200</v>
      </c>
      <c r="H88" s="2">
        <f t="shared" si="1"/>
        <v>-6.7400390910692401E-2</v>
      </c>
    </row>
    <row r="89" spans="1:8" x14ac:dyDescent="0.3">
      <c r="A89" s="1">
        <v>44652</v>
      </c>
      <c r="B89">
        <v>192.58000200000001</v>
      </c>
      <c r="C89">
        <v>192.61999499999999</v>
      </c>
      <c r="D89">
        <v>146</v>
      </c>
      <c r="E89">
        <v>148.83999600000001</v>
      </c>
      <c r="F89">
        <v>148.83999600000001</v>
      </c>
      <c r="G89">
        <v>182424500</v>
      </c>
      <c r="H89" s="2">
        <f t="shared" si="1"/>
        <v>-0.22276764490861611</v>
      </c>
    </row>
    <row r="90" spans="1:8" x14ac:dyDescent="0.3">
      <c r="A90" s="1">
        <v>44682</v>
      </c>
      <c r="B90">
        <v>148.020004</v>
      </c>
      <c r="C90">
        <v>157.990005</v>
      </c>
      <c r="D90">
        <v>117.08000199999999</v>
      </c>
      <c r="E90">
        <v>131.39999399999999</v>
      </c>
      <c r="F90">
        <v>131.39999399999999</v>
      </c>
      <c r="G90">
        <v>229236700</v>
      </c>
      <c r="H90" s="2">
        <f t="shared" si="1"/>
        <v>-0.11717281959615224</v>
      </c>
    </row>
    <row r="91" spans="1:8" x14ac:dyDescent="0.3">
      <c r="A91" s="1">
        <v>44713</v>
      </c>
      <c r="B91">
        <v>133</v>
      </c>
      <c r="C91">
        <v>147.179993</v>
      </c>
      <c r="D91">
        <v>113.019997</v>
      </c>
      <c r="E91">
        <v>136.720001</v>
      </c>
      <c r="F91">
        <v>136.720001</v>
      </c>
      <c r="G91">
        <v>239311400</v>
      </c>
      <c r="H91" s="2">
        <f t="shared" si="1"/>
        <v>4.0487117526048014E-2</v>
      </c>
    </row>
    <row r="92" spans="1:8" x14ac:dyDescent="0.3">
      <c r="A92" s="1">
        <v>44743</v>
      </c>
      <c r="B92">
        <v>135.88000500000001</v>
      </c>
      <c r="C92">
        <v>163.33999600000001</v>
      </c>
      <c r="D92">
        <v>131.28999300000001</v>
      </c>
      <c r="E92">
        <v>159.30999800000001</v>
      </c>
      <c r="F92">
        <v>159.30999800000001</v>
      </c>
      <c r="G92">
        <v>183896900</v>
      </c>
      <c r="H92" s="2">
        <f t="shared" si="1"/>
        <v>0.16522818047668103</v>
      </c>
    </row>
    <row r="93" spans="1:8" x14ac:dyDescent="0.3">
      <c r="A93" s="1">
        <v>44774</v>
      </c>
      <c r="B93">
        <v>165.949997</v>
      </c>
      <c r="C93">
        <v>173.85000600000001</v>
      </c>
      <c r="D93">
        <v>157.91000399999999</v>
      </c>
      <c r="E93">
        <v>160.25</v>
      </c>
      <c r="F93">
        <v>160.25</v>
      </c>
      <c r="G93">
        <v>144159200</v>
      </c>
      <c r="H93" s="2">
        <f t="shared" si="1"/>
        <v>5.9004583001751884E-3</v>
      </c>
    </row>
    <row r="94" spans="1:8" x14ac:dyDescent="0.3">
      <c r="A94" s="1">
        <v>44805</v>
      </c>
      <c r="B94">
        <v>158</v>
      </c>
      <c r="C94">
        <v>160.970001</v>
      </c>
      <c r="D94">
        <v>120.989998</v>
      </c>
      <c r="E94">
        <v>121.08000199999999</v>
      </c>
      <c r="F94">
        <v>121.08000199999999</v>
      </c>
      <c r="G94">
        <v>151513600</v>
      </c>
      <c r="H94" s="2">
        <f t="shared" si="1"/>
        <v>-0.24443056474258976</v>
      </c>
    </row>
    <row r="95" spans="1:8" x14ac:dyDescent="0.3">
      <c r="A95" s="1">
        <v>44835</v>
      </c>
      <c r="B95">
        <v>122</v>
      </c>
      <c r="C95">
        <v>150.13999899999999</v>
      </c>
      <c r="D95">
        <v>121.019997</v>
      </c>
      <c r="E95">
        <v>142.509995</v>
      </c>
      <c r="F95">
        <v>142.509995</v>
      </c>
      <c r="G95">
        <v>167018800</v>
      </c>
      <c r="H95" s="2">
        <f t="shared" si="1"/>
        <v>0.17699035882077382</v>
      </c>
    </row>
    <row r="96" spans="1:8" x14ac:dyDescent="0.3">
      <c r="A96" s="1">
        <v>44866</v>
      </c>
      <c r="B96">
        <v>143.990005</v>
      </c>
      <c r="C96">
        <v>179.979996</v>
      </c>
      <c r="D96">
        <v>141.53999300000001</v>
      </c>
      <c r="E96">
        <v>178.88000500000001</v>
      </c>
      <c r="F96">
        <v>178.88000500000001</v>
      </c>
      <c r="G96">
        <v>162162800</v>
      </c>
      <c r="H96" s="2">
        <f t="shared" si="1"/>
        <v>0.25521023981510915</v>
      </c>
    </row>
    <row r="97" spans="1:8" x14ac:dyDescent="0.3">
      <c r="A97" s="1">
        <v>44896</v>
      </c>
      <c r="B97">
        <v>178.88000500000001</v>
      </c>
      <c r="C97">
        <v>196.39999399999999</v>
      </c>
      <c r="D97">
        <v>172.85000600000001</v>
      </c>
      <c r="E97">
        <v>190.490005</v>
      </c>
      <c r="F97">
        <v>190.490005</v>
      </c>
      <c r="G97">
        <v>141664400</v>
      </c>
      <c r="H97" s="2">
        <f t="shared" si="1"/>
        <v>6.4903844339673319E-2</v>
      </c>
    </row>
    <row r="98" spans="1:8" x14ac:dyDescent="0.3">
      <c r="A98" s="1">
        <v>44927</v>
      </c>
      <c r="B98">
        <v>192.949997</v>
      </c>
      <c r="C98">
        <v>216.63999899999999</v>
      </c>
      <c r="D98">
        <v>192.39999399999999</v>
      </c>
      <c r="E98">
        <v>213</v>
      </c>
      <c r="F98">
        <v>213</v>
      </c>
      <c r="G98">
        <v>148282600</v>
      </c>
      <c r="H98" s="2">
        <f t="shared" si="1"/>
        <v>0.11816890340256962</v>
      </c>
    </row>
    <row r="99" spans="1:8" x14ac:dyDescent="0.3">
      <c r="A99" s="1">
        <v>44958</v>
      </c>
      <c r="B99">
        <v>212.11000100000001</v>
      </c>
      <c r="C99">
        <v>221.33000200000001</v>
      </c>
      <c r="D99">
        <v>197.36000100000001</v>
      </c>
      <c r="E99">
        <v>201.550003</v>
      </c>
      <c r="F99">
        <v>201.550003</v>
      </c>
      <c r="G99">
        <v>104439200</v>
      </c>
      <c r="H99" s="2">
        <f t="shared" si="1"/>
        <v>-5.3755854460093878E-2</v>
      </c>
    </row>
    <row r="100" spans="1:8" x14ac:dyDescent="0.3">
      <c r="A100" s="1">
        <v>44986</v>
      </c>
      <c r="B100">
        <v>201.470001</v>
      </c>
      <c r="C100">
        <v>216.11999499999999</v>
      </c>
      <c r="D100">
        <v>192.41000399999999</v>
      </c>
      <c r="E100">
        <v>212.429993</v>
      </c>
      <c r="F100">
        <v>212.429993</v>
      </c>
      <c r="G100">
        <v>138812800</v>
      </c>
      <c r="H100" s="2">
        <f t="shared" si="1"/>
        <v>5.3981591853412142E-2</v>
      </c>
    </row>
    <row r="101" spans="1:8" x14ac:dyDescent="0.3">
      <c r="A101" s="1">
        <v>45017</v>
      </c>
      <c r="B101">
        <v>212.800003</v>
      </c>
      <c r="C101">
        <v>218.570007</v>
      </c>
      <c r="D101">
        <v>198.14999399999999</v>
      </c>
      <c r="E101">
        <v>206.779999</v>
      </c>
      <c r="F101">
        <v>206.779999</v>
      </c>
      <c r="G101">
        <v>110185200</v>
      </c>
      <c r="H101" s="2">
        <f t="shared" si="1"/>
        <v>-2.6596969289548453E-2</v>
      </c>
    </row>
    <row r="102" spans="1:8" x14ac:dyDescent="0.3">
      <c r="A102" s="1">
        <v>45047</v>
      </c>
      <c r="B102">
        <v>206.25</v>
      </c>
      <c r="C102">
        <v>208.58000200000001</v>
      </c>
      <c r="D102">
        <v>193.270004</v>
      </c>
      <c r="E102">
        <v>205.699997</v>
      </c>
      <c r="F102">
        <v>205.699997</v>
      </c>
      <c r="G102">
        <v>96894500</v>
      </c>
      <c r="H102" s="2">
        <f t="shared" si="1"/>
        <v>-5.2229519548455334E-3</v>
      </c>
    </row>
    <row r="103" spans="1:8" x14ac:dyDescent="0.3">
      <c r="A103" s="1">
        <v>45078</v>
      </c>
      <c r="B103">
        <v>206.46000699999999</v>
      </c>
      <c r="C103">
        <v>223.91000399999999</v>
      </c>
      <c r="D103">
        <v>200.61000100000001</v>
      </c>
      <c r="E103">
        <v>211.16000399999999</v>
      </c>
      <c r="F103">
        <v>211.16000399999999</v>
      </c>
      <c r="G103">
        <v>130146100</v>
      </c>
      <c r="H103" s="2">
        <f t="shared" si="1"/>
        <v>2.6543544383231032E-2</v>
      </c>
    </row>
    <row r="104" spans="1:8" x14ac:dyDescent="0.3">
      <c r="A104" s="1">
        <v>45108</v>
      </c>
      <c r="B104">
        <v>210.5</v>
      </c>
      <c r="C104">
        <v>240.13000500000001</v>
      </c>
      <c r="D104">
        <v>207.88999899999999</v>
      </c>
      <c r="E104">
        <v>238.85000600000001</v>
      </c>
      <c r="F104">
        <v>238.85000600000001</v>
      </c>
      <c r="G104">
        <v>125758200</v>
      </c>
      <c r="H104" s="2">
        <f t="shared" si="1"/>
        <v>0.13113279728863816</v>
      </c>
    </row>
    <row r="105" spans="1:8" x14ac:dyDescent="0.3">
      <c r="A105" s="1">
        <v>45139</v>
      </c>
      <c r="B105">
        <v>237.550003</v>
      </c>
      <c r="C105">
        <v>243.10000600000001</v>
      </c>
      <c r="D105">
        <v>212.88000500000001</v>
      </c>
      <c r="E105">
        <v>224.029999</v>
      </c>
      <c r="F105">
        <v>224.029999</v>
      </c>
      <c r="G105">
        <v>103484600</v>
      </c>
      <c r="H105" s="2">
        <f t="shared" si="1"/>
        <v>-6.2047337775658268E-2</v>
      </c>
    </row>
    <row r="106" spans="1:8" x14ac:dyDescent="0.3">
      <c r="A106" s="1">
        <v>45170</v>
      </c>
      <c r="B106">
        <v>226</v>
      </c>
      <c r="C106">
        <v>226.229996</v>
      </c>
      <c r="D106">
        <v>190.029999</v>
      </c>
      <c r="E106">
        <v>191.679993</v>
      </c>
      <c r="F106">
        <v>191.679993</v>
      </c>
      <c r="G106">
        <v>87425700</v>
      </c>
      <c r="H106" s="2">
        <f t="shared" si="1"/>
        <v>-0.14440033095746257</v>
      </c>
    </row>
    <row r="107" spans="1:8" x14ac:dyDescent="0.3">
      <c r="A107" s="1">
        <v>45200</v>
      </c>
      <c r="B107">
        <v>191.470001</v>
      </c>
      <c r="C107">
        <v>199.61999499999999</v>
      </c>
      <c r="D107">
        <v>176.25</v>
      </c>
      <c r="E107">
        <v>186.820007</v>
      </c>
      <c r="F107">
        <v>186.820007</v>
      </c>
      <c r="G107">
        <v>132929900</v>
      </c>
      <c r="H107" s="2">
        <f t="shared" si="1"/>
        <v>-2.5354685817418579E-2</v>
      </c>
    </row>
    <row r="108" spans="1:8" x14ac:dyDescent="0.3">
      <c r="A108" s="1">
        <v>45231</v>
      </c>
      <c r="B108">
        <v>189.69000199999999</v>
      </c>
      <c r="C108">
        <v>233</v>
      </c>
      <c r="D108">
        <v>187.5</v>
      </c>
      <c r="E108">
        <v>231.63000500000001</v>
      </c>
      <c r="F108">
        <v>231.63000500000001</v>
      </c>
      <c r="G108">
        <v>119254800</v>
      </c>
      <c r="H108" s="2">
        <f t="shared" si="1"/>
        <v>0.23985652671557819</v>
      </c>
    </row>
    <row r="109" spans="1:8" x14ac:dyDescent="0.3">
      <c r="A109" s="1">
        <v>45261</v>
      </c>
      <c r="B109">
        <v>231.770004</v>
      </c>
      <c r="C109">
        <v>267.540009</v>
      </c>
      <c r="D109">
        <v>230</v>
      </c>
      <c r="E109">
        <v>260.66000400000001</v>
      </c>
      <c r="F109">
        <v>260.66000400000001</v>
      </c>
      <c r="G109">
        <v>120189000</v>
      </c>
      <c r="H109" s="2">
        <f t="shared" si="1"/>
        <v>0.12532918176986613</v>
      </c>
    </row>
    <row r="110" spans="1:8" x14ac:dyDescent="0.3">
      <c r="A110" s="1">
        <v>45292</v>
      </c>
      <c r="B110">
        <v>257.27999899999998</v>
      </c>
      <c r="C110">
        <v>258.58999599999999</v>
      </c>
      <c r="D110">
        <v>198.320007</v>
      </c>
      <c r="E110">
        <v>211.03999300000001</v>
      </c>
      <c r="F110">
        <v>211.03999300000001</v>
      </c>
      <c r="G110">
        <v>319496500</v>
      </c>
      <c r="H110" s="2">
        <f t="shared" si="1"/>
        <v>-0.1903629641623116</v>
      </c>
    </row>
    <row r="111" spans="1:8" x14ac:dyDescent="0.3">
      <c r="A111" s="1">
        <v>45323</v>
      </c>
      <c r="B111">
        <v>213.83999600000001</v>
      </c>
      <c r="C111">
        <v>214.63000500000001</v>
      </c>
      <c r="D111">
        <v>197.14999399999999</v>
      </c>
      <c r="E111">
        <v>203.720001</v>
      </c>
      <c r="F111">
        <v>203.720001</v>
      </c>
      <c r="G111">
        <v>129644100</v>
      </c>
      <c r="H111" s="2">
        <f t="shared" si="1"/>
        <v>-3.4685330945779615E-2</v>
      </c>
    </row>
    <row r="112" spans="1:8" x14ac:dyDescent="0.3">
      <c r="A112" s="1">
        <v>45352</v>
      </c>
      <c r="B112">
        <v>204</v>
      </c>
      <c r="C112">
        <v>205.05999800000001</v>
      </c>
      <c r="D112">
        <v>177.520004</v>
      </c>
      <c r="E112">
        <v>192.990005</v>
      </c>
      <c r="F112">
        <v>192.990005</v>
      </c>
      <c r="G112">
        <v>186276100</v>
      </c>
      <c r="H112" s="2">
        <f t="shared" si="1"/>
        <v>-5.2670311934663698E-2</v>
      </c>
    </row>
    <row r="113" spans="1:8" x14ac:dyDescent="0.3">
      <c r="A113" s="1">
        <v>45383</v>
      </c>
      <c r="B113">
        <v>192.240005</v>
      </c>
      <c r="C113">
        <v>192.86999499999999</v>
      </c>
      <c r="D113">
        <v>159.699997</v>
      </c>
      <c r="E113">
        <v>167.83999600000001</v>
      </c>
      <c r="F113">
        <v>167.83999600000001</v>
      </c>
      <c r="G113">
        <v>170801100</v>
      </c>
      <c r="H113" s="2">
        <f t="shared" si="1"/>
        <v>-0.13031767629624127</v>
      </c>
    </row>
    <row r="114" spans="1:8" x14ac:dyDescent="0.3">
      <c r="A114" s="1">
        <v>45413</v>
      </c>
      <c r="B114">
        <v>167.5</v>
      </c>
      <c r="C114">
        <v>183.979996</v>
      </c>
      <c r="D114">
        <v>167.5</v>
      </c>
      <c r="E114">
        <v>176.990005</v>
      </c>
      <c r="F114">
        <v>176.990005</v>
      </c>
      <c r="G114">
        <v>66263400</v>
      </c>
      <c r="H114" s="2">
        <f t="shared" si="1"/>
        <v>5.4516260832131944E-2</v>
      </c>
    </row>
    <row r="115" spans="1:8" x14ac:dyDescent="0.3">
      <c r="A115" s="1">
        <v>45428</v>
      </c>
      <c r="B115">
        <v>177.60000600000001</v>
      </c>
      <c r="C115">
        <v>183.58999600000001</v>
      </c>
      <c r="D115">
        <v>177.259995</v>
      </c>
      <c r="E115">
        <v>182.33000200000001</v>
      </c>
      <c r="F115">
        <v>182.33000200000001</v>
      </c>
      <c r="G115">
        <v>2713477</v>
      </c>
      <c r="H115" s="2">
        <f t="shared" si="1"/>
        <v>3.0171178310323291E-2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7FFA2-A99F-424F-96BE-736D2AD5AF7A}">
  <sheetPr codeName="Sheet3"/>
  <dimension ref="A1:U115"/>
  <sheetViews>
    <sheetView tabSelected="1" topLeftCell="G1" workbookViewId="0">
      <selection activeCell="T13" sqref="T13"/>
    </sheetView>
  </sheetViews>
  <sheetFormatPr defaultRowHeight="14.4" x14ac:dyDescent="0.3"/>
  <cols>
    <col min="1" max="1" width="10.33203125" bestFit="1" customWidth="1"/>
    <col min="6" max="8" width="11" bestFit="1" customWidth="1"/>
    <col min="9" max="9" width="9.21875" bestFit="1" customWidth="1"/>
    <col min="10" max="10" width="9.21875" customWidth="1"/>
    <col min="11" max="11" width="19.88671875" bestFit="1" customWidth="1"/>
    <col min="12" max="12" width="9.5546875" bestFit="1" customWidth="1"/>
    <col min="20" max="20" width="54.77734375" bestFit="1" customWidth="1"/>
  </cols>
  <sheetData>
    <row r="1" spans="1:21" x14ac:dyDescent="0.3">
      <c r="A1" t="s">
        <v>0</v>
      </c>
      <c r="B1" s="3" t="str">
        <f>IF(AAPL!H1="","",AAPL!H1)</f>
        <v>AAPL</v>
      </c>
      <c r="C1" s="3" t="str">
        <f>IF(MSFT!H1="","",MSFT!H1)</f>
        <v>MSFT</v>
      </c>
      <c r="D1" s="3" t="str">
        <f>IF(WMT!H1="","",WMT!H1)</f>
        <v>WMT</v>
      </c>
      <c r="E1" s="3" t="str">
        <f>IF(BA!H1="","",BA!H1)</f>
        <v>BA</v>
      </c>
      <c r="F1" s="3" t="s">
        <v>18</v>
      </c>
      <c r="G1" s="3" t="s">
        <v>21</v>
      </c>
      <c r="H1" s="3" t="s">
        <v>22</v>
      </c>
      <c r="I1" s="3" t="s">
        <v>23</v>
      </c>
      <c r="J1" s="3"/>
      <c r="T1" t="s">
        <v>16</v>
      </c>
    </row>
    <row r="2" spans="1:21" x14ac:dyDescent="0.3">
      <c r="A2" s="1">
        <v>42005</v>
      </c>
      <c r="B2" s="3" t="str">
        <f>IF(AAPL!H2="","",AAPL!H2)</f>
        <v/>
      </c>
      <c r="C2" s="3" t="str">
        <f>IF(MSFT!H2="","",MSFT!H2)</f>
        <v/>
      </c>
      <c r="D2" s="3" t="str">
        <f>IF(WMT!H2="","",WMT!H2)</f>
        <v/>
      </c>
      <c r="E2" s="3" t="str">
        <f>IF(BA!H2="","",BA!H2)</f>
        <v/>
      </c>
      <c r="F2" s="3"/>
      <c r="G2" s="3"/>
      <c r="H2" s="3"/>
      <c r="L2" t="s">
        <v>7</v>
      </c>
      <c r="M2" t="s">
        <v>10</v>
      </c>
      <c r="N2" t="s">
        <v>11</v>
      </c>
      <c r="O2" t="s">
        <v>12</v>
      </c>
      <c r="T2" t="s">
        <v>17</v>
      </c>
    </row>
    <row r="3" spans="1:21" x14ac:dyDescent="0.3">
      <c r="A3" s="1">
        <v>42036</v>
      </c>
      <c r="B3" s="4">
        <f>IF(AAPL!H3="","",AAPL!H3)</f>
        <v>9.64494072861658E-2</v>
      </c>
      <c r="C3" s="5">
        <f>IF(MSFT!H3="","",MSFT!H3)</f>
        <v>8.5396138974141514E-2</v>
      </c>
      <c r="D3" s="5">
        <f>IF(WMT!H3="","",WMT!H3)</f>
        <v>-1.2355647934302662E-2</v>
      </c>
      <c r="E3" s="5">
        <f>IF(BA!H3="","",BA!H3)</f>
        <v>3.7697084775367568E-2</v>
      </c>
      <c r="F3" s="5">
        <f>IF(B3&gt;0,0,B3)</f>
        <v>0</v>
      </c>
      <c r="G3" s="5">
        <f t="shared" ref="G3:I18" si="0">IF(C3&gt;0,0,C3)</f>
        <v>0</v>
      </c>
      <c r="H3" s="5">
        <f t="shared" si="0"/>
        <v>-1.2355647934302662E-2</v>
      </c>
      <c r="I3" s="5">
        <f t="shared" si="0"/>
        <v>0</v>
      </c>
      <c r="J3" s="5"/>
      <c r="K3" t="s">
        <v>13</v>
      </c>
      <c r="L3" s="6">
        <f>AVERAGE(B3:B115)</f>
        <v>2.093427151500982E-2</v>
      </c>
      <c r="M3" s="6">
        <f t="shared" ref="M3:O3" si="1">AVERAGE(C3:C115)</f>
        <v>2.423635714665855E-2</v>
      </c>
      <c r="N3" s="6">
        <f t="shared" si="1"/>
        <v>1.0261963172293637E-2</v>
      </c>
      <c r="O3" s="6">
        <f t="shared" si="1"/>
        <v>9.8094479802949587E-3</v>
      </c>
      <c r="P3" s="6"/>
    </row>
    <row r="4" spans="1:21" x14ac:dyDescent="0.3">
      <c r="A4" s="1">
        <v>42064</v>
      </c>
      <c r="B4" s="4">
        <f>IF(AAPL!H4="","",AAPL!H4)</f>
        <v>-2.75487849861271E-2</v>
      </c>
      <c r="C4" s="5">
        <f>IF(MSFT!H4="","",MSFT!H4)</f>
        <v>-6.6148772743106016E-2</v>
      </c>
      <c r="D4" s="5">
        <f>IF(WMT!H4="","",WMT!H4)</f>
        <v>-2.0016966414447515E-2</v>
      </c>
      <c r="E4" s="5">
        <f>IF(BA!H4="","",BA!H4)</f>
        <v>1.0489640028072647E-3</v>
      </c>
      <c r="F4" s="5">
        <f t="shared" ref="F4:I67" si="2">IF(B4&gt;0,0,B4)</f>
        <v>-2.75487849861271E-2</v>
      </c>
      <c r="G4" s="5">
        <f t="shared" si="0"/>
        <v>-6.6148772743106016E-2</v>
      </c>
      <c r="H4" s="5">
        <f t="shared" si="0"/>
        <v>-2.0016966414447515E-2</v>
      </c>
      <c r="I4" s="5">
        <f t="shared" si="0"/>
        <v>0</v>
      </c>
      <c r="J4" s="5"/>
      <c r="K4" t="s">
        <v>14</v>
      </c>
      <c r="L4" s="7">
        <f>VAR(B3:B115)</f>
        <v>6.5642434684290837E-3</v>
      </c>
      <c r="M4">
        <f t="shared" ref="M4:O4" si="3">VAR(C3:C115)</f>
        <v>3.861741657675406E-3</v>
      </c>
      <c r="N4">
        <f t="shared" si="3"/>
        <v>2.7442134769461372E-3</v>
      </c>
      <c r="O4">
        <f t="shared" si="3"/>
        <v>1.2981477981739745E-2</v>
      </c>
      <c r="T4" t="s">
        <v>19</v>
      </c>
    </row>
    <row r="5" spans="1:21" x14ac:dyDescent="0.3">
      <c r="A5" s="1">
        <v>42095</v>
      </c>
      <c r="B5" s="4">
        <f>IF(AAPL!H5="","",AAPL!H5)</f>
        <v>5.7864091027136702E-3</v>
      </c>
      <c r="C5" s="5">
        <f>IF(MSFT!H5="","",MSFT!H5)</f>
        <v>0.19626145453462673</v>
      </c>
      <c r="D5" s="5">
        <f>IF(WMT!H5="","",WMT!H5)</f>
        <v>-4.5364109704101235E-2</v>
      </c>
      <c r="E5" s="5">
        <f>IF(BA!H5="","",BA!H5)</f>
        <v>-4.4909454301128242E-2</v>
      </c>
      <c r="F5" s="5">
        <f t="shared" si="2"/>
        <v>0</v>
      </c>
      <c r="G5" s="5">
        <f t="shared" si="0"/>
        <v>0</v>
      </c>
      <c r="H5" s="5">
        <f t="shared" si="0"/>
        <v>-4.5364109704101235E-2</v>
      </c>
      <c r="I5" s="5">
        <f t="shared" si="0"/>
        <v>-4.4909454301128242E-2</v>
      </c>
      <c r="J5" s="5"/>
      <c r="K5" t="s">
        <v>15</v>
      </c>
      <c r="L5">
        <f>STDEV(B3:B115)</f>
        <v>8.1020018936242444E-2</v>
      </c>
      <c r="M5">
        <f t="shared" ref="M5:O5" si="4">STDEV(C3:C115)</f>
        <v>6.2142913173389339E-2</v>
      </c>
      <c r="N5">
        <f t="shared" si="4"/>
        <v>5.2385241022125086E-2</v>
      </c>
      <c r="O5">
        <f t="shared" si="4"/>
        <v>0.1139362891344972</v>
      </c>
    </row>
    <row r="6" spans="1:21" x14ac:dyDescent="0.3">
      <c r="A6" s="1">
        <v>42125</v>
      </c>
      <c r="B6" s="4">
        <f>IF(AAPL!H6="","",AAPL!H6)</f>
        <v>4.0990934193561895E-2</v>
      </c>
      <c r="C6" s="5">
        <f>IF(MSFT!H6="","",MSFT!H6)</f>
        <v>-3.6595475641051187E-2</v>
      </c>
      <c r="D6" s="5">
        <f>IF(WMT!H6="","",WMT!H6)</f>
        <v>-4.8430474099952443E-2</v>
      </c>
      <c r="E6" s="5">
        <f>IF(BA!H6="","",BA!H6)</f>
        <v>-1.9673370586369081E-2</v>
      </c>
      <c r="F6" s="5">
        <f t="shared" si="2"/>
        <v>0</v>
      </c>
      <c r="G6" s="5">
        <f t="shared" si="0"/>
        <v>-3.6595475641051187E-2</v>
      </c>
      <c r="H6" s="5">
        <f t="shared" si="0"/>
        <v>-4.8430474099952443E-2</v>
      </c>
      <c r="I6" s="5">
        <f t="shared" si="0"/>
        <v>-1.9673370586369081E-2</v>
      </c>
      <c r="J6" s="5"/>
      <c r="K6" t="s">
        <v>20</v>
      </c>
      <c r="L6">
        <f>(L3-0.36%)/L5</f>
        <v>0.21395047474193732</v>
      </c>
      <c r="M6">
        <f t="shared" ref="M6:O6" si="5">(M3-0.36%)/M5</f>
        <v>0.33207901099003179</v>
      </c>
      <c r="N6">
        <f t="shared" si="5"/>
        <v>0.1271725211587732</v>
      </c>
      <c r="O6">
        <f t="shared" si="5"/>
        <v>5.4499299805744555E-2</v>
      </c>
      <c r="Q6" t="s">
        <v>27</v>
      </c>
      <c r="T6" t="s">
        <v>31</v>
      </c>
      <c r="U6" s="6"/>
    </row>
    <row r="7" spans="1:21" x14ac:dyDescent="0.3">
      <c r="A7" s="1">
        <v>42156</v>
      </c>
      <c r="B7" s="4">
        <f>IF(AAPL!H7="","",AAPL!H7)</f>
        <v>-3.3206166659376056E-2</v>
      </c>
      <c r="C7" s="5">
        <f>IF(MSFT!H7="","",MSFT!H7)</f>
        <v>-5.1708767812007277E-2</v>
      </c>
      <c r="D7" s="5">
        <f>IF(WMT!H7="","",WMT!H7)</f>
        <v>-3.8943263463597486E-2</v>
      </c>
      <c r="E7" s="5">
        <f>IF(BA!H7="","",BA!H7)</f>
        <v>-6.4836416384189315E-3</v>
      </c>
      <c r="F7" s="5">
        <f t="shared" si="2"/>
        <v>-3.3206166659376056E-2</v>
      </c>
      <c r="G7" s="5">
        <f t="shared" si="0"/>
        <v>-5.1708767812007277E-2</v>
      </c>
      <c r="H7" s="5">
        <f t="shared" si="0"/>
        <v>-3.8943263463597486E-2</v>
      </c>
      <c r="I7" s="5">
        <f t="shared" si="0"/>
        <v>-6.4836416384189315E-3</v>
      </c>
      <c r="J7" s="5"/>
      <c r="K7" t="s">
        <v>24</v>
      </c>
      <c r="L7">
        <f>STDEV(F3:F115)</f>
        <v>3.9022018101437538E-2</v>
      </c>
      <c r="M7">
        <f t="shared" ref="M7:O7" si="6">STDEV(G3:G115)</f>
        <v>2.6866604537568232E-2</v>
      </c>
      <c r="N7">
        <f t="shared" si="6"/>
        <v>2.9677796239264247E-2</v>
      </c>
      <c r="O7">
        <f t="shared" si="6"/>
        <v>6.5175076337389476E-2</v>
      </c>
      <c r="T7" t="s">
        <v>25</v>
      </c>
    </row>
    <row r="8" spans="1:21" x14ac:dyDescent="0.3">
      <c r="A8" s="1">
        <v>42186</v>
      </c>
      <c r="B8" s="4">
        <f>IF(AAPL!H8="","",AAPL!H8)</f>
        <v>-3.2926526286429912E-2</v>
      </c>
      <c r="C8" s="5">
        <f>IF(MSFT!H8="","",MSFT!H8)</f>
        <v>5.7757583182594566E-2</v>
      </c>
      <c r="D8" s="5">
        <f>IF(WMT!H8="","",WMT!H8)</f>
        <v>1.4802851953365876E-2</v>
      </c>
      <c r="E8" s="5">
        <f>IF(BA!H8="","",BA!H8)</f>
        <v>3.9288164541339085E-2</v>
      </c>
      <c r="F8" s="5">
        <f t="shared" si="2"/>
        <v>-3.2926526286429912E-2</v>
      </c>
      <c r="G8" s="5">
        <f t="shared" si="0"/>
        <v>0</v>
      </c>
      <c r="H8" s="5">
        <f t="shared" si="0"/>
        <v>0</v>
      </c>
      <c r="I8" s="5">
        <f t="shared" si="0"/>
        <v>0</v>
      </c>
      <c r="J8" s="5"/>
      <c r="K8" t="s">
        <v>26</v>
      </c>
      <c r="L8">
        <f>(L3-0.36%)/L7</f>
        <v>0.44421770985676523</v>
      </c>
      <c r="M8">
        <f t="shared" ref="M8:O8" si="7">(M3-0.36%)/M7</f>
        <v>0.76810439956423326</v>
      </c>
      <c r="N8">
        <f t="shared" si="7"/>
        <v>0.22447634314166973</v>
      </c>
      <c r="O8">
        <f t="shared" si="7"/>
        <v>9.5273351858473201E-2</v>
      </c>
      <c r="Q8" t="s">
        <v>28</v>
      </c>
      <c r="T8" s="8" t="s">
        <v>29</v>
      </c>
    </row>
    <row r="9" spans="1:21" x14ac:dyDescent="0.3">
      <c r="A9" s="1">
        <v>42217</v>
      </c>
      <c r="B9" s="4">
        <f>IF(AAPL!H9="","",AAPL!H9)</f>
        <v>-7.0404066675916449E-2</v>
      </c>
      <c r="C9" s="5">
        <f>IF(MSFT!H9="","",MSFT!H9)</f>
        <v>-6.809420612485835E-2</v>
      </c>
      <c r="D9" s="5">
        <f>IF(WMT!H9="","",WMT!H9)</f>
        <v>-0.1007227669726582</v>
      </c>
      <c r="E9" s="5">
        <f>IF(BA!H9="","",BA!H9)</f>
        <v>-9.357010767169617E-2</v>
      </c>
      <c r="F9" s="5">
        <f t="shared" si="2"/>
        <v>-7.0404066675916449E-2</v>
      </c>
      <c r="G9" s="5">
        <f t="shared" si="0"/>
        <v>-6.809420612485835E-2</v>
      </c>
      <c r="H9" s="5">
        <f t="shared" si="0"/>
        <v>-0.1007227669726582</v>
      </c>
      <c r="I9" s="5">
        <f t="shared" si="0"/>
        <v>-9.357010767169617E-2</v>
      </c>
      <c r="J9" s="5"/>
      <c r="T9" s="8" t="s">
        <v>30</v>
      </c>
    </row>
    <row r="10" spans="1:21" x14ac:dyDescent="0.3">
      <c r="A10" s="1">
        <v>42248</v>
      </c>
      <c r="B10" s="4">
        <f>IF(AAPL!H10="","",AAPL!H10)</f>
        <v>-1.7388476580728316E-2</v>
      </c>
      <c r="C10" s="5">
        <f>IF(MSFT!H10="","",MSFT!H10)</f>
        <v>2.3710443267461693E-2</v>
      </c>
      <c r="D10" s="5">
        <f>IF(WMT!H10="","",WMT!H10)</f>
        <v>8.5395408492121936E-3</v>
      </c>
      <c r="E10" s="5">
        <f>IF(BA!H10="","",BA!H10)</f>
        <v>8.4592740215166263E-3</v>
      </c>
      <c r="F10" s="5">
        <f t="shared" si="2"/>
        <v>-1.7388476580728316E-2</v>
      </c>
      <c r="G10" s="5">
        <f t="shared" si="0"/>
        <v>0</v>
      </c>
      <c r="H10" s="5">
        <f t="shared" si="0"/>
        <v>0</v>
      </c>
      <c r="I10" s="5">
        <f t="shared" si="0"/>
        <v>0</v>
      </c>
      <c r="J10" s="5"/>
    </row>
    <row r="11" spans="1:21" x14ac:dyDescent="0.3">
      <c r="A11" s="1">
        <v>42278</v>
      </c>
      <c r="B11" s="4">
        <f>IF(AAPL!H11="","",AAPL!H11)</f>
        <v>8.3408616525887852E-2</v>
      </c>
      <c r="C11" s="5">
        <f>IF(MSFT!H11="","",MSFT!H11)</f>
        <v>0.18933511767876096</v>
      </c>
      <c r="D11" s="5">
        <f>IF(WMT!H11="","",WMT!H11)</f>
        <v>-0.11721145265561582</v>
      </c>
      <c r="E11" s="5">
        <f>IF(BA!H11="","",BA!H11)</f>
        <v>0.13073709182131404</v>
      </c>
      <c r="F11" s="5">
        <f t="shared" si="2"/>
        <v>0</v>
      </c>
      <c r="G11" s="5">
        <f t="shared" si="0"/>
        <v>0</v>
      </c>
      <c r="H11" s="5">
        <f t="shared" si="0"/>
        <v>-0.11721145265561582</v>
      </c>
      <c r="I11" s="5">
        <f t="shared" si="0"/>
        <v>0</v>
      </c>
      <c r="J11" s="5"/>
    </row>
    <row r="12" spans="1:21" x14ac:dyDescent="0.3">
      <c r="A12" s="1">
        <v>42309</v>
      </c>
      <c r="B12" s="4">
        <f>IF(AAPL!H12="","",AAPL!H12)</f>
        <v>-1.0041793479612992E-2</v>
      </c>
      <c r="C12" s="5">
        <f>IF(MSFT!H12="","",MSFT!H12)</f>
        <v>3.2484778726896084E-2</v>
      </c>
      <c r="D12" s="5">
        <f>IF(WMT!H12="","",WMT!H12)</f>
        <v>2.7952284249354371E-2</v>
      </c>
      <c r="E12" s="5">
        <f>IF(BA!H12="","",BA!H12)</f>
        <v>-1.769434018517051E-2</v>
      </c>
      <c r="F12" s="5">
        <f t="shared" si="2"/>
        <v>-1.0041793479612992E-2</v>
      </c>
      <c r="G12" s="5">
        <f t="shared" si="0"/>
        <v>0</v>
      </c>
      <c r="H12" s="5">
        <f t="shared" si="0"/>
        <v>0</v>
      </c>
      <c r="I12" s="5">
        <f t="shared" si="0"/>
        <v>-1.769434018517051E-2</v>
      </c>
      <c r="J12" s="5"/>
      <c r="L12" s="6"/>
    </row>
    <row r="13" spans="1:21" x14ac:dyDescent="0.3">
      <c r="A13" s="1">
        <v>42339</v>
      </c>
      <c r="B13" s="4">
        <f>IF(AAPL!H13="","",AAPL!H13)</f>
        <v>-0.10641958462171236</v>
      </c>
      <c r="C13" s="5">
        <f>IF(MSFT!H13="","",MSFT!H13)</f>
        <v>2.7672199060489129E-2</v>
      </c>
      <c r="D13" s="5">
        <f>IF(WMT!H13="","",WMT!H13)</f>
        <v>4.1808513583650328E-2</v>
      </c>
      <c r="E13" s="5">
        <f>IF(BA!H13="","",BA!H13)</f>
        <v>2.3351072424588755E-4</v>
      </c>
      <c r="F13" s="5">
        <f t="shared" si="2"/>
        <v>-0.10641958462171236</v>
      </c>
      <c r="G13" s="5">
        <f t="shared" si="0"/>
        <v>0</v>
      </c>
      <c r="H13" s="5">
        <f t="shared" si="0"/>
        <v>0</v>
      </c>
      <c r="I13" s="5">
        <f t="shared" si="0"/>
        <v>0</v>
      </c>
      <c r="J13" s="5"/>
      <c r="L13" s="6"/>
    </row>
    <row r="14" spans="1:21" x14ac:dyDescent="0.3">
      <c r="A14" s="1">
        <v>42370</v>
      </c>
      <c r="B14" s="4">
        <f>IF(AAPL!H14="","",AAPL!H14)</f>
        <v>-7.5242165946842965E-2</v>
      </c>
      <c r="C14" s="5">
        <f>IF(MSFT!H14="","",MSFT!H14)</f>
        <v>-7.0297399532008873E-3</v>
      </c>
      <c r="D14" s="5">
        <f>IF(WMT!H14="","",WMT!H14)</f>
        <v>9.1612533907420732E-2</v>
      </c>
      <c r="E14" s="5">
        <f>IF(BA!H14="","",BA!H14)</f>
        <v>-0.16916793894889912</v>
      </c>
      <c r="F14" s="5">
        <f t="shared" si="2"/>
        <v>-7.5242165946842965E-2</v>
      </c>
      <c r="G14" s="5">
        <f t="shared" si="0"/>
        <v>-7.0297399532008873E-3</v>
      </c>
      <c r="H14" s="5">
        <f t="shared" si="0"/>
        <v>0</v>
      </c>
      <c r="I14" s="5">
        <f t="shared" si="0"/>
        <v>-0.16916793894889912</v>
      </c>
      <c r="J14" s="5"/>
      <c r="L14" s="6"/>
    </row>
    <row r="15" spans="1:21" x14ac:dyDescent="0.3">
      <c r="A15" s="1">
        <v>42401</v>
      </c>
      <c r="B15" s="4">
        <f>IF(AAPL!H15="","",AAPL!H15)</f>
        <v>-6.6773897730602076E-3</v>
      </c>
      <c r="C15" s="5">
        <f>IF(MSFT!H15="","",MSFT!H15)</f>
        <v>-7.6420384452047407E-2</v>
      </c>
      <c r="D15" s="5">
        <f>IF(WMT!H15="","",WMT!H15)</f>
        <v>-3.0167482532915591E-4</v>
      </c>
      <c r="E15" s="5">
        <f>IF(BA!H15="","",BA!H15)</f>
        <v>-1.6232486929256575E-2</v>
      </c>
      <c r="F15" s="5">
        <f t="shared" si="2"/>
        <v>-6.6773897730602076E-3</v>
      </c>
      <c r="G15" s="5">
        <f t="shared" si="0"/>
        <v>-7.6420384452047407E-2</v>
      </c>
      <c r="H15" s="5">
        <f t="shared" si="0"/>
        <v>-3.0167482532915591E-4</v>
      </c>
      <c r="I15" s="5">
        <f t="shared" si="0"/>
        <v>-1.6232486929256575E-2</v>
      </c>
      <c r="J15" s="5"/>
      <c r="L15" s="6"/>
    </row>
    <row r="16" spans="1:21" x14ac:dyDescent="0.3">
      <c r="A16" s="1">
        <v>42430</v>
      </c>
      <c r="B16" s="4">
        <f>IF(AAPL!H16="","",AAPL!H16)</f>
        <v>0.13332683939213788</v>
      </c>
      <c r="C16" s="5">
        <f>IF(MSFT!H16="","",MSFT!H16)</f>
        <v>9.3288897671112231E-2</v>
      </c>
      <c r="D16" s="5">
        <f>IF(WMT!H16="","",WMT!H16)</f>
        <v>3.2409216461186566E-2</v>
      </c>
      <c r="E16" s="5">
        <f>IF(BA!H16="","",BA!H16)</f>
        <v>8.4064038709371902E-2</v>
      </c>
      <c r="F16" s="5">
        <f t="shared" si="2"/>
        <v>0</v>
      </c>
      <c r="G16" s="5">
        <f t="shared" si="0"/>
        <v>0</v>
      </c>
      <c r="H16" s="5">
        <f t="shared" si="0"/>
        <v>0</v>
      </c>
      <c r="I16" s="5">
        <f t="shared" si="0"/>
        <v>0</v>
      </c>
      <c r="J16" s="5"/>
    </row>
    <row r="17" spans="1:10" x14ac:dyDescent="0.3">
      <c r="A17" s="1">
        <v>42461</v>
      </c>
      <c r="B17" s="4">
        <f>IF(AAPL!H17="","",AAPL!H17)</f>
        <v>-0.13992106937846455</v>
      </c>
      <c r="C17" s="5">
        <f>IF(MSFT!H17="","",MSFT!H17)</f>
        <v>-9.7048660046754637E-2</v>
      </c>
      <c r="D17" s="5">
        <f>IF(WMT!H17="","",WMT!H17)</f>
        <v>-1.6425641605576174E-2</v>
      </c>
      <c r="E17" s="5">
        <f>IF(BA!H17="","",BA!H17)</f>
        <v>6.19190769375111E-2</v>
      </c>
      <c r="F17" s="5">
        <f t="shared" si="2"/>
        <v>-0.13992106937846455</v>
      </c>
      <c r="G17" s="5">
        <f t="shared" si="0"/>
        <v>-9.7048660046754637E-2</v>
      </c>
      <c r="H17" s="5">
        <f t="shared" si="0"/>
        <v>-1.6425641605576174E-2</v>
      </c>
      <c r="I17" s="5">
        <f t="shared" si="0"/>
        <v>0</v>
      </c>
      <c r="J17" s="5"/>
    </row>
    <row r="18" spans="1:10" x14ac:dyDescent="0.3">
      <c r="A18" s="1">
        <v>42491</v>
      </c>
      <c r="B18" s="4">
        <f>IF(AAPL!H18="","",AAPL!H18)</f>
        <v>6.5287051720649997E-2</v>
      </c>
      <c r="C18" s="5">
        <f>IF(MSFT!H18="","",MSFT!H18)</f>
        <v>6.2763132279161971E-2</v>
      </c>
      <c r="D18" s="5">
        <f>IF(WMT!H18="","",WMT!H18)</f>
        <v>5.8471677881059482E-2</v>
      </c>
      <c r="E18" s="5">
        <f>IF(BA!H18="","",BA!H18)</f>
        <v>-6.4169096191035627E-2</v>
      </c>
      <c r="F18" s="5">
        <f t="shared" si="2"/>
        <v>0</v>
      </c>
      <c r="G18" s="5">
        <f t="shared" si="0"/>
        <v>0</v>
      </c>
      <c r="H18" s="5">
        <f t="shared" si="0"/>
        <v>0</v>
      </c>
      <c r="I18" s="5">
        <f t="shared" si="0"/>
        <v>-6.4169096191035627E-2</v>
      </c>
      <c r="J18" s="5"/>
    </row>
    <row r="19" spans="1:10" x14ac:dyDescent="0.3">
      <c r="A19" s="1">
        <v>42522</v>
      </c>
      <c r="B19" s="4">
        <f>IF(AAPL!H19="","",AAPL!H19)</f>
        <v>-3.6830970336252565E-2</v>
      </c>
      <c r="C19" s="5">
        <f>IF(MSFT!H19="","",MSFT!H19)</f>
        <v>-2.7775478078845471E-2</v>
      </c>
      <c r="D19" s="5">
        <f>IF(WMT!H19="","",WMT!H19)</f>
        <v>3.920093451735146E-2</v>
      </c>
      <c r="E19" s="5">
        <f>IF(BA!H19="","",BA!H19)</f>
        <v>3.7886028879367539E-2</v>
      </c>
      <c r="F19" s="5">
        <f t="shared" si="2"/>
        <v>-3.6830970336252565E-2</v>
      </c>
      <c r="G19" s="5">
        <f t="shared" si="2"/>
        <v>-2.7775478078845471E-2</v>
      </c>
      <c r="H19" s="5">
        <f t="shared" si="2"/>
        <v>0</v>
      </c>
      <c r="I19" s="5">
        <f t="shared" si="2"/>
        <v>0</v>
      </c>
      <c r="J19" s="5"/>
    </row>
    <row r="20" spans="1:10" x14ac:dyDescent="0.3">
      <c r="A20" s="1">
        <v>42552</v>
      </c>
      <c r="B20" s="4">
        <f>IF(AAPL!H20="","",AAPL!H20)</f>
        <v>9.0062514150300865E-2</v>
      </c>
      <c r="C20" s="5">
        <f>IF(MSFT!H20="","",MSFT!H20)</f>
        <v>0.10768031654356067</v>
      </c>
      <c r="D20" s="5">
        <f>IF(WMT!H20="","",WMT!H20)</f>
        <v>-6.8498277596058116E-4</v>
      </c>
      <c r="E20" s="5">
        <f>IF(BA!H20="","",BA!H20)</f>
        <v>2.9182840765188539E-2</v>
      </c>
      <c r="F20" s="5">
        <f t="shared" si="2"/>
        <v>0</v>
      </c>
      <c r="G20" s="5">
        <f t="shared" si="2"/>
        <v>0</v>
      </c>
      <c r="H20" s="5">
        <f t="shared" si="2"/>
        <v>-6.8498277596058116E-4</v>
      </c>
      <c r="I20" s="5">
        <f t="shared" si="2"/>
        <v>0</v>
      </c>
      <c r="J20" s="5"/>
    </row>
    <row r="21" spans="1:10" x14ac:dyDescent="0.3">
      <c r="A21" s="1">
        <v>42583</v>
      </c>
      <c r="B21" s="4">
        <f>IF(AAPL!H21="","",AAPL!H21)</f>
        <v>1.8136378960190692E-2</v>
      </c>
      <c r="C21" s="5">
        <f>IF(MSFT!H21="","",MSFT!H21)</f>
        <v>1.3761545393991761E-2</v>
      </c>
      <c r="D21" s="5">
        <f>IF(WMT!H21="","",WMT!H21)</f>
        <v>-2.0967259221512879E-2</v>
      </c>
      <c r="E21" s="5">
        <f>IF(BA!H21="","",BA!H21)</f>
        <v>-3.1497705687497594E-2</v>
      </c>
      <c r="F21" s="5">
        <f t="shared" si="2"/>
        <v>0</v>
      </c>
      <c r="G21" s="5">
        <f t="shared" si="2"/>
        <v>0</v>
      </c>
      <c r="H21" s="5">
        <f t="shared" si="2"/>
        <v>-2.0967259221512879E-2</v>
      </c>
      <c r="I21" s="5">
        <f t="shared" si="2"/>
        <v>-3.1497705687497594E-2</v>
      </c>
      <c r="J21" s="5"/>
    </row>
    <row r="22" spans="1:10" x14ac:dyDescent="0.3">
      <c r="A22" s="1">
        <v>42614</v>
      </c>
      <c r="B22" s="4">
        <f>IF(AAPL!H22="","",AAPL!H22)</f>
        <v>7.1276718446322981E-2</v>
      </c>
      <c r="C22" s="5">
        <f>IF(MSFT!H22="","",MSFT!H22)</f>
        <v>8.6840582325560644E-3</v>
      </c>
      <c r="D22" s="5">
        <f>IF(WMT!H22="","",WMT!H22)</f>
        <v>1.6429065636633499E-2</v>
      </c>
      <c r="E22" s="5">
        <f>IF(BA!H22="","",BA!H22)</f>
        <v>2.6123980630880898E-2</v>
      </c>
      <c r="F22" s="5">
        <f t="shared" si="2"/>
        <v>0</v>
      </c>
      <c r="G22" s="5">
        <f t="shared" si="2"/>
        <v>0</v>
      </c>
      <c r="H22" s="5">
        <f t="shared" si="2"/>
        <v>0</v>
      </c>
      <c r="I22" s="5">
        <f t="shared" si="2"/>
        <v>0</v>
      </c>
      <c r="J22" s="5"/>
    </row>
    <row r="23" spans="1:10" x14ac:dyDescent="0.3">
      <c r="A23" s="1">
        <v>42644</v>
      </c>
      <c r="B23" s="4">
        <f>IF(AAPL!H23="","",AAPL!H23)</f>
        <v>4.3343218380040398E-3</v>
      </c>
      <c r="C23" s="5">
        <f>IF(MSFT!H23="","",MSFT!H23)</f>
        <v>4.0278132815124414E-2</v>
      </c>
      <c r="D23" s="5">
        <f>IF(WMT!H23="","",WMT!H23)</f>
        <v>-2.9118072859299956E-2</v>
      </c>
      <c r="E23" s="5">
        <f>IF(BA!H23="","",BA!H23)</f>
        <v>8.1144437630617294E-2</v>
      </c>
      <c r="F23" s="5">
        <f t="shared" si="2"/>
        <v>0</v>
      </c>
      <c r="G23" s="5">
        <f t="shared" si="2"/>
        <v>0</v>
      </c>
      <c r="H23" s="5">
        <f t="shared" si="2"/>
        <v>-2.9118072859299956E-2</v>
      </c>
      <c r="I23" s="5">
        <f t="shared" si="2"/>
        <v>0</v>
      </c>
      <c r="J23" s="5"/>
    </row>
    <row r="24" spans="1:10" x14ac:dyDescent="0.3">
      <c r="A24" s="1">
        <v>42675</v>
      </c>
      <c r="B24" s="4">
        <f>IF(AAPL!H24="","",AAPL!H24)</f>
        <v>-2.6598859772008574E-2</v>
      </c>
      <c r="C24" s="5">
        <f>IF(MSFT!H24="","",MSFT!H24)</f>
        <v>5.6739567056803015E-3</v>
      </c>
      <c r="D24" s="5">
        <f>IF(WMT!H24="","",WMT!H24)</f>
        <v>5.8552611618633808E-3</v>
      </c>
      <c r="E24" s="5">
        <f>IF(BA!H24="","",BA!H24)</f>
        <v>5.7080743600259561E-2</v>
      </c>
      <c r="F24" s="5">
        <f t="shared" si="2"/>
        <v>-2.6598859772008574E-2</v>
      </c>
      <c r="G24" s="5">
        <f t="shared" si="2"/>
        <v>0</v>
      </c>
      <c r="H24" s="5">
        <f t="shared" si="2"/>
        <v>0</v>
      </c>
      <c r="I24" s="5">
        <f t="shared" si="2"/>
        <v>0</v>
      </c>
      <c r="J24" s="5"/>
    </row>
    <row r="25" spans="1:10" x14ac:dyDescent="0.3">
      <c r="A25" s="1">
        <v>42705</v>
      </c>
      <c r="B25" s="4">
        <f>IF(AAPL!H25="","",AAPL!H25)</f>
        <v>5.3335778929115195E-2</v>
      </c>
      <c r="C25" s="5">
        <f>IF(MSFT!H25="","",MSFT!H25)</f>
        <v>3.8164738698645936E-2</v>
      </c>
      <c r="D25" s="5">
        <f>IF(WMT!H25="","",WMT!H25)</f>
        <v>-1.8599704794974234E-2</v>
      </c>
      <c r="E25" s="5">
        <f>IF(BA!H25="","",BA!H25)</f>
        <v>4.1946694737655457E-2</v>
      </c>
      <c r="F25" s="5">
        <f t="shared" si="2"/>
        <v>0</v>
      </c>
      <c r="G25" s="5">
        <f t="shared" si="2"/>
        <v>0</v>
      </c>
      <c r="H25" s="5">
        <f t="shared" si="2"/>
        <v>-1.8599704794974234E-2</v>
      </c>
      <c r="I25" s="5">
        <f t="shared" si="2"/>
        <v>0</v>
      </c>
      <c r="J25" s="5"/>
    </row>
    <row r="26" spans="1:10" x14ac:dyDescent="0.3">
      <c r="A26" s="1">
        <v>42736</v>
      </c>
      <c r="B26" s="4">
        <f>IF(AAPL!H26="","",AAPL!H26)</f>
        <v>4.7746716221914502E-2</v>
      </c>
      <c r="C26" s="5">
        <f>IF(MSFT!H26="","",MSFT!H26)</f>
        <v>4.0392462095548858E-2</v>
      </c>
      <c r="D26" s="5">
        <f>IF(WMT!H26="","",WMT!H26)</f>
        <v>-2.7522091707001244E-2</v>
      </c>
      <c r="E26" s="5">
        <f>IF(BA!H26="","",BA!H26)</f>
        <v>4.9717678960658741E-2</v>
      </c>
      <c r="F26" s="5">
        <f t="shared" si="2"/>
        <v>0</v>
      </c>
      <c r="G26" s="5">
        <f t="shared" si="2"/>
        <v>0</v>
      </c>
      <c r="H26" s="5">
        <f t="shared" si="2"/>
        <v>-2.7522091707001244E-2</v>
      </c>
      <c r="I26" s="5">
        <f t="shared" si="2"/>
        <v>0</v>
      </c>
      <c r="J26" s="5"/>
    </row>
    <row r="27" spans="1:10" x14ac:dyDescent="0.3">
      <c r="A27" s="1">
        <v>42767</v>
      </c>
      <c r="B27" s="4">
        <f>IF(AAPL!H27="","",AAPL!H27)</f>
        <v>0.12888320899701688</v>
      </c>
      <c r="C27" s="5">
        <f>IF(MSFT!H27="","",MSFT!H27)</f>
        <v>-1.0363317062634044E-2</v>
      </c>
      <c r="D27" s="5">
        <f>IF(WMT!H27="","",WMT!H27)</f>
        <v>6.2781037232314776E-2</v>
      </c>
      <c r="E27" s="5">
        <f>IF(BA!H27="","",BA!H27)</f>
        <v>0.10286350026168896</v>
      </c>
      <c r="F27" s="5">
        <f t="shared" si="2"/>
        <v>0</v>
      </c>
      <c r="G27" s="5">
        <f t="shared" si="2"/>
        <v>-1.0363317062634044E-2</v>
      </c>
      <c r="H27" s="5">
        <f t="shared" si="2"/>
        <v>0</v>
      </c>
      <c r="I27" s="5">
        <f t="shared" si="2"/>
        <v>0</v>
      </c>
      <c r="J27" s="5"/>
    </row>
    <row r="28" spans="1:10" x14ac:dyDescent="0.3">
      <c r="A28" s="1">
        <v>42795</v>
      </c>
      <c r="B28" s="4">
        <f>IF(AAPL!H28="","",AAPL!H28)</f>
        <v>5.3236361192952907E-2</v>
      </c>
      <c r="C28" s="5">
        <f>IF(MSFT!H28="","",MSFT!H28)</f>
        <v>3.5624409396072323E-2</v>
      </c>
      <c r="D28" s="5">
        <f>IF(WMT!H28="","",WMT!H28)</f>
        <v>1.6212700274661065E-2</v>
      </c>
      <c r="E28" s="5">
        <f>IF(BA!H28="","",BA!H28)</f>
        <v>-1.0257147022167311E-2</v>
      </c>
      <c r="F28" s="5">
        <f t="shared" si="2"/>
        <v>0</v>
      </c>
      <c r="G28" s="5">
        <f t="shared" si="2"/>
        <v>0</v>
      </c>
      <c r="H28" s="5">
        <f t="shared" si="2"/>
        <v>0</v>
      </c>
      <c r="I28" s="5">
        <f t="shared" si="2"/>
        <v>-1.0257147022167311E-2</v>
      </c>
      <c r="J28" s="5"/>
    </row>
    <row r="29" spans="1:10" x14ac:dyDescent="0.3">
      <c r="A29" s="1">
        <v>42826</v>
      </c>
      <c r="B29" s="4">
        <f>IF(AAPL!H29="","",AAPL!H29)</f>
        <v>-6.9382715747139746E-5</v>
      </c>
      <c r="C29" s="5">
        <f>IF(MSFT!H29="","",MSFT!H29)</f>
        <v>3.9477811381701519E-2</v>
      </c>
      <c r="D29" s="5">
        <f>IF(WMT!H29="","",WMT!H29)</f>
        <v>5.0677108369652495E-2</v>
      </c>
      <c r="E29" s="5">
        <f>IF(BA!H29="","",BA!H29)</f>
        <v>4.5063906626621186E-2</v>
      </c>
      <c r="F29" s="5">
        <f t="shared" si="2"/>
        <v>-6.9382715747139746E-5</v>
      </c>
      <c r="G29" s="5">
        <f t="shared" si="2"/>
        <v>0</v>
      </c>
      <c r="H29" s="5">
        <f t="shared" si="2"/>
        <v>0</v>
      </c>
      <c r="I29" s="5">
        <f t="shared" si="2"/>
        <v>0</v>
      </c>
      <c r="J29" s="5"/>
    </row>
    <row r="30" spans="1:10" x14ac:dyDescent="0.3">
      <c r="A30" s="1">
        <v>42856</v>
      </c>
      <c r="B30" s="4">
        <f>IF(AAPL!H30="","",AAPL!H30)</f>
        <v>6.3417812875183319E-2</v>
      </c>
      <c r="C30" s="5">
        <f>IF(MSFT!H30="","",MSFT!H30)</f>
        <v>2.0157582880108736E-2</v>
      </c>
      <c r="D30" s="5">
        <f>IF(WMT!H30="","",WMT!H30)</f>
        <v>4.5490776593641702E-2</v>
      </c>
      <c r="E30" s="5">
        <f>IF(BA!H30="","",BA!H30)</f>
        <v>1.5149058479846583E-2</v>
      </c>
      <c r="F30" s="5">
        <f t="shared" si="2"/>
        <v>0</v>
      </c>
      <c r="G30" s="5">
        <f t="shared" si="2"/>
        <v>0</v>
      </c>
      <c r="H30" s="5">
        <f t="shared" si="2"/>
        <v>0</v>
      </c>
      <c r="I30" s="5">
        <f t="shared" si="2"/>
        <v>0</v>
      </c>
      <c r="J30" s="5"/>
    </row>
    <row r="31" spans="1:10" x14ac:dyDescent="0.3">
      <c r="A31" s="1">
        <v>42887</v>
      </c>
      <c r="B31" s="4">
        <f>IF(AAPL!H31="","",AAPL!H31)</f>
        <v>-5.3322614768137884E-2</v>
      </c>
      <c r="C31" s="5">
        <f>IF(MSFT!H31="","",MSFT!H31)</f>
        <v>-7.3725052813396951E-3</v>
      </c>
      <c r="D31" s="5">
        <f>IF(WMT!H31="","",WMT!H31)</f>
        <v>-3.0706582752611497E-2</v>
      </c>
      <c r="E31" s="5">
        <f>IF(BA!H31="","",BA!H31)</f>
        <v>6.2004305255141945E-2</v>
      </c>
      <c r="F31" s="5">
        <f t="shared" si="2"/>
        <v>-5.3322614768137884E-2</v>
      </c>
      <c r="G31" s="5">
        <f t="shared" si="2"/>
        <v>-7.3725052813396951E-3</v>
      </c>
      <c r="H31" s="5">
        <f t="shared" si="2"/>
        <v>-3.0706582752611497E-2</v>
      </c>
      <c r="I31" s="5">
        <f t="shared" si="2"/>
        <v>0</v>
      </c>
      <c r="J31" s="5"/>
    </row>
    <row r="32" spans="1:10" x14ac:dyDescent="0.3">
      <c r="A32" s="1">
        <v>42917</v>
      </c>
      <c r="B32" s="4">
        <f>IF(AAPL!H32="","",AAPL!H32)</f>
        <v>3.2703940848697627E-2</v>
      </c>
      <c r="C32" s="5">
        <f>IF(MSFT!H32="","",MSFT!H32)</f>
        <v>5.4693274438443039E-2</v>
      </c>
      <c r="D32" s="5">
        <f>IF(WMT!H32="","",WMT!H32)</f>
        <v>5.6950454095516599E-2</v>
      </c>
      <c r="E32" s="5">
        <f>IF(BA!H32="","",BA!H32)</f>
        <v>0.22609362953169079</v>
      </c>
      <c r="F32" s="5">
        <f t="shared" si="2"/>
        <v>0</v>
      </c>
      <c r="G32" s="5">
        <f t="shared" si="2"/>
        <v>0</v>
      </c>
      <c r="H32" s="5">
        <f t="shared" si="2"/>
        <v>0</v>
      </c>
      <c r="I32" s="5">
        <f t="shared" si="2"/>
        <v>0</v>
      </c>
      <c r="J32" s="5"/>
    </row>
    <row r="33" spans="1:10" x14ac:dyDescent="0.3">
      <c r="A33" s="1">
        <v>42948</v>
      </c>
      <c r="B33" s="4">
        <f>IF(AAPL!H33="","",AAPL!H33)</f>
        <v>0.10266898169417055</v>
      </c>
      <c r="C33" s="5">
        <f>IF(MSFT!H33="","",MSFT!H33)</f>
        <v>2.8473377022859344E-2</v>
      </c>
      <c r="D33" s="5">
        <f>IF(WMT!H33="","",WMT!H33)</f>
        <v>-2.400313085051969E-2</v>
      </c>
      <c r="E33" s="5">
        <f>IF(BA!H33="","",BA!H33)</f>
        <v>-1.1548391761576597E-2</v>
      </c>
      <c r="F33" s="5">
        <f t="shared" si="2"/>
        <v>0</v>
      </c>
      <c r="G33" s="5">
        <f t="shared" si="2"/>
        <v>0</v>
      </c>
      <c r="H33" s="5">
        <f t="shared" si="2"/>
        <v>-2.400313085051969E-2</v>
      </c>
      <c r="I33" s="5">
        <f t="shared" si="2"/>
        <v>-1.1548391761576597E-2</v>
      </c>
      <c r="J33" s="5"/>
    </row>
    <row r="34" spans="1:10" x14ac:dyDescent="0.3">
      <c r="A34" s="1">
        <v>42979</v>
      </c>
      <c r="B34" s="4">
        <f>IF(AAPL!H34="","",AAPL!H34)</f>
        <v>-5.6553186392393345E-2</v>
      </c>
      <c r="C34" s="5">
        <f>IF(MSFT!H34="","",MSFT!H34)</f>
        <v>1.5631298153290149E-3</v>
      </c>
      <c r="D34" s="5">
        <f>IF(WMT!H34="","",WMT!H34)</f>
        <v>7.192232673361252E-3</v>
      </c>
      <c r="E34" s="5">
        <f>IF(BA!H34="","",BA!H34)</f>
        <v>6.7037522462910962E-2</v>
      </c>
      <c r="F34" s="5">
        <f t="shared" si="2"/>
        <v>-5.6553186392393345E-2</v>
      </c>
      <c r="G34" s="5">
        <f t="shared" si="2"/>
        <v>0</v>
      </c>
      <c r="H34" s="5">
        <f t="shared" si="2"/>
        <v>0</v>
      </c>
      <c r="I34" s="5">
        <f t="shared" si="2"/>
        <v>0</v>
      </c>
      <c r="J34" s="5"/>
    </row>
    <row r="35" spans="1:10" x14ac:dyDescent="0.3">
      <c r="A35" s="1">
        <v>43009</v>
      </c>
      <c r="B35" s="4">
        <f>IF(AAPL!H35="","",AAPL!H35)</f>
        <v>9.6807438159844411E-2</v>
      </c>
      <c r="C35" s="5">
        <f>IF(MSFT!H35="","",MSFT!H35)</f>
        <v>0.11665973232875367</v>
      </c>
      <c r="D35" s="5">
        <f>IF(WMT!H35="","",WMT!H35)</f>
        <v>0.11735353576694532</v>
      </c>
      <c r="E35" s="5">
        <f>IF(BA!H35="","",BA!H35)</f>
        <v>1.483021394902697E-2</v>
      </c>
      <c r="F35" s="5">
        <f t="shared" si="2"/>
        <v>0</v>
      </c>
      <c r="G35" s="5">
        <f t="shared" si="2"/>
        <v>0</v>
      </c>
      <c r="H35" s="5">
        <f t="shared" si="2"/>
        <v>0</v>
      </c>
      <c r="I35" s="5">
        <f t="shared" si="2"/>
        <v>0</v>
      </c>
      <c r="J35" s="5"/>
    </row>
    <row r="36" spans="1:10" x14ac:dyDescent="0.3">
      <c r="A36" s="1">
        <v>43040</v>
      </c>
      <c r="B36" s="4">
        <f>IF(AAPL!H36="","",AAPL!H36)</f>
        <v>1.6623173076588914E-2</v>
      </c>
      <c r="C36" s="5">
        <f>IF(MSFT!H36="","",MSFT!H36)</f>
        <v>1.1902118153069722E-2</v>
      </c>
      <c r="D36" s="5">
        <f>IF(WMT!H36="","",WMT!H36)</f>
        <v>0.11361828133210813</v>
      </c>
      <c r="E36" s="5">
        <f>IF(BA!H36="","",BA!H36)</f>
        <v>7.2951293793671559E-2</v>
      </c>
      <c r="F36" s="5">
        <f t="shared" si="2"/>
        <v>0</v>
      </c>
      <c r="G36" s="5">
        <f t="shared" si="2"/>
        <v>0</v>
      </c>
      <c r="H36" s="5">
        <f t="shared" si="2"/>
        <v>0</v>
      </c>
      <c r="I36" s="5">
        <f t="shared" si="2"/>
        <v>0</v>
      </c>
      <c r="J36" s="5"/>
    </row>
    <row r="37" spans="1:10" x14ac:dyDescent="0.3">
      <c r="A37" s="1">
        <v>43070</v>
      </c>
      <c r="B37" s="4">
        <f>IF(AAPL!H37="","",AAPL!H37)</f>
        <v>-1.1705607378835149E-2</v>
      </c>
      <c r="C37" s="5">
        <f>IF(MSFT!H37="","",MSFT!H37)</f>
        <v>2.1380496640529364E-2</v>
      </c>
      <c r="D37" s="5">
        <f>IF(WMT!H37="","",WMT!H37)</f>
        <v>1.5632906503539327E-2</v>
      </c>
      <c r="E37" s="5">
        <f>IF(BA!H37="","",BA!H37)</f>
        <v>7.1154041043010111E-2</v>
      </c>
      <c r="F37" s="5">
        <f t="shared" si="2"/>
        <v>-1.1705607378835149E-2</v>
      </c>
      <c r="G37" s="5">
        <f t="shared" si="2"/>
        <v>0</v>
      </c>
      <c r="H37" s="5">
        <f t="shared" si="2"/>
        <v>0</v>
      </c>
      <c r="I37" s="5">
        <f t="shared" si="2"/>
        <v>0</v>
      </c>
      <c r="J37" s="5"/>
    </row>
    <row r="38" spans="1:10" x14ac:dyDescent="0.3">
      <c r="A38" s="1">
        <v>43101</v>
      </c>
      <c r="B38" s="4">
        <f>IF(AAPL!H38="","",AAPL!H38)</f>
        <v>-1.0636200684957254E-2</v>
      </c>
      <c r="C38" s="5">
        <f>IF(MSFT!H38="","",MSFT!H38)</f>
        <v>0.11070852387344325</v>
      </c>
      <c r="D38" s="5">
        <f>IF(WMT!H38="","",WMT!H38)</f>
        <v>8.518251352782219E-2</v>
      </c>
      <c r="E38" s="5">
        <f>IF(BA!H38="","",BA!H38)</f>
        <v>0.20162065671678328</v>
      </c>
      <c r="F38" s="5">
        <f t="shared" si="2"/>
        <v>-1.0636200684957254E-2</v>
      </c>
      <c r="G38" s="5">
        <f t="shared" si="2"/>
        <v>0</v>
      </c>
      <c r="H38" s="5">
        <f t="shared" si="2"/>
        <v>0</v>
      </c>
      <c r="I38" s="5">
        <f t="shared" si="2"/>
        <v>0</v>
      </c>
      <c r="J38" s="5"/>
    </row>
    <row r="39" spans="1:10" x14ac:dyDescent="0.3">
      <c r="A39" s="1">
        <v>43132</v>
      </c>
      <c r="B39" s="4">
        <f>IF(AAPL!H39="","",AAPL!H39)</f>
        <v>6.384729807427944E-2</v>
      </c>
      <c r="C39" s="5">
        <f>IF(MSFT!H39="","",MSFT!H39)</f>
        <v>-1.3051655212914537E-2</v>
      </c>
      <c r="D39" s="5">
        <f>IF(WMT!H39="","",WMT!H39)</f>
        <v>-0.15562832760856568</v>
      </c>
      <c r="E39" s="5">
        <f>IF(BA!H39="","",BA!H39)</f>
        <v>2.2123773671038984E-2</v>
      </c>
      <c r="F39" s="5">
        <f t="shared" si="2"/>
        <v>0</v>
      </c>
      <c r="G39" s="5">
        <f t="shared" si="2"/>
        <v>-1.3051655212914537E-2</v>
      </c>
      <c r="H39" s="5">
        <f t="shared" si="2"/>
        <v>-0.15562832760856568</v>
      </c>
      <c r="I39" s="5">
        <f t="shared" si="2"/>
        <v>0</v>
      </c>
      <c r="J39" s="5"/>
    </row>
    <row r="40" spans="1:10" x14ac:dyDescent="0.3">
      <c r="A40" s="1">
        <v>43160</v>
      </c>
      <c r="B40" s="4">
        <f>IF(AAPL!H40="","",AAPL!H40)</f>
        <v>-5.4210160254510045E-2</v>
      </c>
      <c r="C40" s="5">
        <f>IF(MSFT!H40="","",MSFT!H40)</f>
        <v>-2.2088689537769924E-2</v>
      </c>
      <c r="D40" s="5">
        <f>IF(WMT!H40="","",WMT!H40)</f>
        <v>-1.155414827630168E-2</v>
      </c>
      <c r="E40" s="5">
        <f>IF(BA!H40="","",BA!H40)</f>
        <v>-9.0310957245666984E-2</v>
      </c>
      <c r="F40" s="5">
        <f t="shared" si="2"/>
        <v>-5.4210160254510045E-2</v>
      </c>
      <c r="G40" s="5">
        <f t="shared" si="2"/>
        <v>-2.2088689537769924E-2</v>
      </c>
      <c r="H40" s="5">
        <f t="shared" si="2"/>
        <v>-1.155414827630168E-2</v>
      </c>
      <c r="I40" s="5">
        <f t="shared" si="2"/>
        <v>-9.0310957245666984E-2</v>
      </c>
      <c r="J40" s="5"/>
    </row>
    <row r="41" spans="1:10" x14ac:dyDescent="0.3">
      <c r="A41" s="1">
        <v>43191</v>
      </c>
      <c r="B41" s="4">
        <f>IF(AAPL!H41="","",AAPL!H41)</f>
        <v>-1.5019810112440933E-2</v>
      </c>
      <c r="C41" s="5">
        <f>IF(MSFT!H41="","",MSFT!H41)</f>
        <v>2.4652163875904218E-2</v>
      </c>
      <c r="D41" s="5">
        <f>IF(WMT!H41="","",WMT!H41)</f>
        <v>1.9534706624472968E-4</v>
      </c>
      <c r="E41" s="5">
        <f>IF(BA!H41="","",BA!H41)</f>
        <v>1.732353463406484E-2</v>
      </c>
      <c r="F41" s="5">
        <f t="shared" si="2"/>
        <v>-1.5019810112440933E-2</v>
      </c>
      <c r="G41" s="5">
        <f t="shared" si="2"/>
        <v>0</v>
      </c>
      <c r="H41" s="5">
        <f t="shared" si="2"/>
        <v>0</v>
      </c>
      <c r="I41" s="5">
        <f t="shared" si="2"/>
        <v>0</v>
      </c>
      <c r="J41" s="5"/>
    </row>
    <row r="42" spans="1:10" x14ac:dyDescent="0.3">
      <c r="A42" s="1">
        <v>43221</v>
      </c>
      <c r="B42" s="4">
        <f>IF(AAPL!H42="","",AAPL!H42)</f>
        <v>0.13076372661218646</v>
      </c>
      <c r="C42" s="5">
        <f>IF(MSFT!H42="","",MSFT!H42)</f>
        <v>5.6886459464680364E-2</v>
      </c>
      <c r="D42" s="5">
        <f>IF(WMT!H42="","",WMT!H42)</f>
        <v>-6.6922730826535395E-2</v>
      </c>
      <c r="E42" s="5">
        <f>IF(BA!H42="","",BA!H42)</f>
        <v>5.5762094049912406E-2</v>
      </c>
      <c r="F42" s="5">
        <f t="shared" si="2"/>
        <v>0</v>
      </c>
      <c r="G42" s="5">
        <f t="shared" si="2"/>
        <v>0</v>
      </c>
      <c r="H42" s="5">
        <f t="shared" si="2"/>
        <v>-6.6922730826535395E-2</v>
      </c>
      <c r="I42" s="5">
        <f t="shared" si="2"/>
        <v>0</v>
      </c>
      <c r="J42" s="5"/>
    </row>
    <row r="43" spans="1:10" x14ac:dyDescent="0.3">
      <c r="A43" s="1">
        <v>43252</v>
      </c>
      <c r="B43" s="4">
        <f>IF(AAPL!H43="","",AAPL!H43)</f>
        <v>-5.598446177288309E-3</v>
      </c>
      <c r="C43" s="5">
        <f>IF(MSFT!H43="","",MSFT!H43)</f>
        <v>1.9972878428595954E-3</v>
      </c>
      <c r="D43" s="5">
        <f>IF(WMT!H43="","",WMT!H43)</f>
        <v>4.4216013345631064E-2</v>
      </c>
      <c r="E43" s="5">
        <f>IF(BA!H43="","",BA!H43)</f>
        <v>-4.252683385020354E-2</v>
      </c>
      <c r="F43" s="5">
        <f t="shared" si="2"/>
        <v>-5.598446177288309E-3</v>
      </c>
      <c r="G43" s="5">
        <f t="shared" si="2"/>
        <v>0</v>
      </c>
      <c r="H43" s="5">
        <f t="shared" si="2"/>
        <v>0</v>
      </c>
      <c r="I43" s="5">
        <f t="shared" si="2"/>
        <v>-4.252683385020354E-2</v>
      </c>
      <c r="J43" s="5"/>
    </row>
    <row r="44" spans="1:10" x14ac:dyDescent="0.3">
      <c r="A44" s="1">
        <v>43282</v>
      </c>
      <c r="B44" s="4">
        <f>IF(AAPL!H44="","",AAPL!H44)</f>
        <v>2.7983139177344966E-2</v>
      </c>
      <c r="C44" s="5">
        <f>IF(MSFT!H44="","",MSFT!H44)</f>
        <v>7.5752957012468494E-2</v>
      </c>
      <c r="D44" s="5">
        <f>IF(WMT!H44="","",WMT!H44)</f>
        <v>4.1798075211778071E-2</v>
      </c>
      <c r="E44" s="5">
        <f>IF(BA!H44="","",BA!H44)</f>
        <v>6.1965195197836061E-2</v>
      </c>
      <c r="F44" s="5">
        <f t="shared" si="2"/>
        <v>0</v>
      </c>
      <c r="G44" s="5">
        <f t="shared" si="2"/>
        <v>0</v>
      </c>
      <c r="H44" s="5">
        <f t="shared" si="2"/>
        <v>0</v>
      </c>
      <c r="I44" s="5">
        <f t="shared" si="2"/>
        <v>0</v>
      </c>
      <c r="J44" s="5"/>
    </row>
    <row r="45" spans="1:10" x14ac:dyDescent="0.3">
      <c r="A45" s="1">
        <v>43313</v>
      </c>
      <c r="B45" s="4">
        <f>IF(AAPL!H45="","",AAPL!H45)</f>
        <v>0.19622681795552885</v>
      </c>
      <c r="C45" s="5">
        <f>IF(MSFT!H45="","",MSFT!H45)</f>
        <v>5.8917820565513319E-2</v>
      </c>
      <c r="D45" s="5">
        <f>IF(WMT!H45="","",WMT!H45)</f>
        <v>7.4302122578300808E-2</v>
      </c>
      <c r="E45" s="5">
        <f>IF(BA!H45="","",BA!H45)</f>
        <v>-3.7917451645295995E-2</v>
      </c>
      <c r="F45" s="5">
        <f t="shared" si="2"/>
        <v>0</v>
      </c>
      <c r="G45" s="5">
        <f t="shared" si="2"/>
        <v>0</v>
      </c>
      <c r="H45" s="5">
        <f t="shared" si="2"/>
        <v>0</v>
      </c>
      <c r="I45" s="5">
        <f t="shared" si="2"/>
        <v>-3.7917451645295995E-2</v>
      </c>
      <c r="J45" s="5"/>
    </row>
    <row r="46" spans="1:10" x14ac:dyDescent="0.3">
      <c r="A46" s="1">
        <v>43344</v>
      </c>
      <c r="B46" s="4">
        <f>IF(AAPL!H46="","",AAPL!H46)</f>
        <v>-4.8248370090413382E-3</v>
      </c>
      <c r="C46" s="5">
        <f>IF(MSFT!H46="","",MSFT!H46)</f>
        <v>2.2078940865914151E-2</v>
      </c>
      <c r="D46" s="5">
        <f>IF(WMT!H46="","",WMT!H46)</f>
        <v>-1.465208278585684E-2</v>
      </c>
      <c r="E46" s="5">
        <f>IF(BA!H46="","",BA!H46)</f>
        <v>9.0281433029955699E-2</v>
      </c>
      <c r="F46" s="5">
        <f t="shared" si="2"/>
        <v>-4.8248370090413382E-3</v>
      </c>
      <c r="G46" s="5">
        <f t="shared" si="2"/>
        <v>0</v>
      </c>
      <c r="H46" s="5">
        <f t="shared" si="2"/>
        <v>-1.465208278585684E-2</v>
      </c>
      <c r="I46" s="5">
        <f t="shared" si="2"/>
        <v>0</v>
      </c>
      <c r="J46" s="5"/>
    </row>
    <row r="47" spans="1:10" x14ac:dyDescent="0.3">
      <c r="A47" s="1">
        <v>43374</v>
      </c>
      <c r="B47" s="4">
        <f>IF(AAPL!H47="","",AAPL!H47)</f>
        <v>-3.0477458223582603E-2</v>
      </c>
      <c r="C47" s="5">
        <f>IF(MSFT!H47="","",MSFT!H47)</f>
        <v>-6.6101161857955573E-2</v>
      </c>
      <c r="D47" s="5">
        <f>IF(WMT!H47="","",WMT!H47)</f>
        <v>6.7830704871265718E-2</v>
      </c>
      <c r="E47" s="5">
        <f>IF(BA!H47="","",BA!H47)</f>
        <v>-4.5818667102095291E-2</v>
      </c>
      <c r="F47" s="5">
        <f t="shared" si="2"/>
        <v>-3.0477458223582603E-2</v>
      </c>
      <c r="G47" s="5">
        <f t="shared" si="2"/>
        <v>-6.6101161857955573E-2</v>
      </c>
      <c r="H47" s="5">
        <f t="shared" si="2"/>
        <v>0</v>
      </c>
      <c r="I47" s="5">
        <f t="shared" si="2"/>
        <v>-4.5818667102095291E-2</v>
      </c>
      <c r="J47" s="5"/>
    </row>
    <row r="48" spans="1:10" x14ac:dyDescent="0.3">
      <c r="A48" s="1">
        <v>43405</v>
      </c>
      <c r="B48" s="4">
        <f>IF(AAPL!H48="","",AAPL!H48)</f>
        <v>-0.18404464789567551</v>
      </c>
      <c r="C48" s="5">
        <f>IF(MSFT!H48="","",MSFT!H48)</f>
        <v>3.8198421604340456E-2</v>
      </c>
      <c r="D48" s="5">
        <f>IF(WMT!H48="","",WMT!H48)</f>
        <v>-2.622656650261317E-2</v>
      </c>
      <c r="E48" s="5">
        <f>IF(BA!H48="","",BA!H48)</f>
        <v>-2.2825806045754734E-2</v>
      </c>
      <c r="F48" s="5">
        <f t="shared" si="2"/>
        <v>-0.18404464789567551</v>
      </c>
      <c r="G48" s="5">
        <f t="shared" si="2"/>
        <v>0</v>
      </c>
      <c r="H48" s="5">
        <f t="shared" si="2"/>
        <v>-2.622656650261317E-2</v>
      </c>
      <c r="I48" s="5">
        <f t="shared" si="2"/>
        <v>-2.2825806045754734E-2</v>
      </c>
      <c r="J48" s="5"/>
    </row>
    <row r="49" spans="1:10" x14ac:dyDescent="0.3">
      <c r="A49" s="1">
        <v>43435</v>
      </c>
      <c r="B49" s="4">
        <f>IF(AAPL!H49="","",AAPL!H49)</f>
        <v>-0.1136164137061047</v>
      </c>
      <c r="C49" s="5">
        <f>IF(MSFT!H49="","",MSFT!H49)</f>
        <v>-8.0090307353081883E-2</v>
      </c>
      <c r="D49" s="5">
        <f>IF(WMT!H49="","",WMT!H49)</f>
        <v>-4.608294527322699E-2</v>
      </c>
      <c r="E49" s="5">
        <f>IF(BA!H49="","",BA!H49)</f>
        <v>-6.5667277239880903E-2</v>
      </c>
      <c r="F49" s="5">
        <f t="shared" si="2"/>
        <v>-0.1136164137061047</v>
      </c>
      <c r="G49" s="5">
        <f t="shared" si="2"/>
        <v>-8.0090307353081883E-2</v>
      </c>
      <c r="H49" s="5">
        <f t="shared" si="2"/>
        <v>-4.608294527322699E-2</v>
      </c>
      <c r="I49" s="5">
        <f t="shared" si="2"/>
        <v>-6.5667277239880903E-2</v>
      </c>
      <c r="J49" s="5"/>
    </row>
    <row r="50" spans="1:10" x14ac:dyDescent="0.3">
      <c r="A50" s="1">
        <v>43466</v>
      </c>
      <c r="B50" s="4">
        <f>IF(AAPL!H50="","",AAPL!H50)</f>
        <v>5.5154126670280218E-2</v>
      </c>
      <c r="C50" s="5">
        <f>IF(MSFT!H50="","",MSFT!H50)</f>
        <v>2.8158016499720231E-2</v>
      </c>
      <c r="D50" s="5">
        <f>IF(WMT!H50="","",WMT!H50)</f>
        <v>3.4385082602420125E-2</v>
      </c>
      <c r="E50" s="5">
        <f>IF(BA!H50="","",BA!H50)</f>
        <v>0.19572089236630666</v>
      </c>
      <c r="F50" s="5">
        <f t="shared" si="2"/>
        <v>0</v>
      </c>
      <c r="G50" s="5">
        <f t="shared" si="2"/>
        <v>0</v>
      </c>
      <c r="H50" s="5">
        <f t="shared" si="2"/>
        <v>0</v>
      </c>
      <c r="I50" s="5">
        <f t="shared" si="2"/>
        <v>0</v>
      </c>
      <c r="J50" s="5"/>
    </row>
    <row r="51" spans="1:10" x14ac:dyDescent="0.3">
      <c r="A51" s="1">
        <v>43497</v>
      </c>
      <c r="B51" s="4">
        <f>IF(AAPL!H51="","",AAPL!H51)</f>
        <v>4.0314580877286364E-2</v>
      </c>
      <c r="C51" s="5">
        <f>IF(MSFT!H51="","",MSFT!H51)</f>
        <v>7.2776142640636074E-2</v>
      </c>
      <c r="D51" s="5">
        <f>IF(WMT!H51="","",WMT!H51)</f>
        <v>3.2974846774346304E-2</v>
      </c>
      <c r="E51" s="5">
        <f>IF(BA!H51="","",BA!H51)</f>
        <v>0.14091582795300039</v>
      </c>
      <c r="F51" s="5">
        <f t="shared" si="2"/>
        <v>0</v>
      </c>
      <c r="G51" s="5">
        <f t="shared" si="2"/>
        <v>0</v>
      </c>
      <c r="H51" s="5">
        <f t="shared" si="2"/>
        <v>0</v>
      </c>
      <c r="I51" s="5">
        <f t="shared" si="2"/>
        <v>0</v>
      </c>
      <c r="J51" s="5"/>
    </row>
    <row r="52" spans="1:10" x14ac:dyDescent="0.3">
      <c r="A52" s="1">
        <v>43525</v>
      </c>
      <c r="B52" s="4">
        <f>IF(AAPL!H52="","",AAPL!H52)</f>
        <v>0.10173081884999551</v>
      </c>
      <c r="C52" s="5">
        <f>IF(MSFT!H52="","",MSFT!H52)</f>
        <v>5.724969719798486E-2</v>
      </c>
      <c r="D52" s="5">
        <f>IF(WMT!H52="","",WMT!H52)</f>
        <v>-1.4748889782789659E-2</v>
      </c>
      <c r="E52" s="5">
        <f>IF(BA!H52="","",BA!H52)</f>
        <v>-0.12870211763964839</v>
      </c>
      <c r="F52" s="5">
        <f t="shared" si="2"/>
        <v>0</v>
      </c>
      <c r="G52" s="5">
        <f t="shared" si="2"/>
        <v>0</v>
      </c>
      <c r="H52" s="5">
        <f t="shared" si="2"/>
        <v>-1.4748889782789659E-2</v>
      </c>
      <c r="I52" s="5">
        <f t="shared" si="2"/>
        <v>-0.12870211763964839</v>
      </c>
      <c r="J52" s="5"/>
    </row>
    <row r="53" spans="1:10" x14ac:dyDescent="0.3">
      <c r="A53" s="1">
        <v>43556</v>
      </c>
      <c r="B53" s="4">
        <f>IF(AAPL!H53="","",AAPL!H53)</f>
        <v>5.6435722070940136E-2</v>
      </c>
      <c r="C53" s="5">
        <f>IF(MSFT!H53="","",MSFT!H53)</f>
        <v>0.10734270585387352</v>
      </c>
      <c r="D53" s="5">
        <f>IF(WMT!H53="","",WMT!H53)</f>
        <v>6.0118310108197875E-2</v>
      </c>
      <c r="E53" s="5">
        <f>IF(BA!H53="","",BA!H53)</f>
        <v>-9.7793297096358464E-3</v>
      </c>
      <c r="F53" s="5">
        <f t="shared" si="2"/>
        <v>0</v>
      </c>
      <c r="G53" s="5">
        <f t="shared" si="2"/>
        <v>0</v>
      </c>
      <c r="H53" s="5">
        <f t="shared" si="2"/>
        <v>0</v>
      </c>
      <c r="I53" s="5">
        <f t="shared" si="2"/>
        <v>-9.7793297096358464E-3</v>
      </c>
      <c r="J53" s="5"/>
    </row>
    <row r="54" spans="1:10" x14ac:dyDescent="0.3">
      <c r="A54" s="1">
        <v>43586</v>
      </c>
      <c r="B54" s="4">
        <f>IF(AAPL!H54="","",AAPL!H54)</f>
        <v>-0.12757241901798369</v>
      </c>
      <c r="C54" s="5">
        <f>IF(MSFT!H54="","",MSFT!H54)</f>
        <v>-5.2986327265090782E-2</v>
      </c>
      <c r="D54" s="5">
        <f>IF(WMT!H54="","",WMT!H54)</f>
        <v>-1.3613293241375977E-2</v>
      </c>
      <c r="E54" s="5">
        <f>IF(BA!H54="","",BA!H54)</f>
        <v>-9.5528177945779932E-2</v>
      </c>
      <c r="F54" s="5">
        <f t="shared" si="2"/>
        <v>-0.12757241901798369</v>
      </c>
      <c r="G54" s="5">
        <f t="shared" si="2"/>
        <v>-5.2986327265090782E-2</v>
      </c>
      <c r="H54" s="5">
        <f t="shared" si="2"/>
        <v>-1.3613293241375977E-2</v>
      </c>
      <c r="I54" s="5">
        <f t="shared" si="2"/>
        <v>-9.5528177945779932E-2</v>
      </c>
      <c r="J54" s="5"/>
    </row>
    <row r="55" spans="1:10" x14ac:dyDescent="0.3">
      <c r="A55" s="1">
        <v>43617</v>
      </c>
      <c r="B55" s="4">
        <f>IF(AAPL!H55="","",AAPL!H55)</f>
        <v>0.13487275277869448</v>
      </c>
      <c r="C55" s="5">
        <f>IF(MSFT!H55="","",MSFT!H55)</f>
        <v>8.7127080529048093E-2</v>
      </c>
      <c r="D55" s="5">
        <f>IF(WMT!H55="","",WMT!H55)</f>
        <v>9.5001580135143357E-2</v>
      </c>
      <c r="E55" s="5">
        <f>IF(BA!H55="","",BA!H55)</f>
        <v>7.169380907165615E-2</v>
      </c>
      <c r="F55" s="5">
        <f t="shared" si="2"/>
        <v>0</v>
      </c>
      <c r="G55" s="5">
        <f t="shared" si="2"/>
        <v>0</v>
      </c>
      <c r="H55" s="5">
        <f t="shared" si="2"/>
        <v>0</v>
      </c>
      <c r="I55" s="5">
        <f t="shared" si="2"/>
        <v>0</v>
      </c>
      <c r="J55" s="5"/>
    </row>
    <row r="56" spans="1:10" x14ac:dyDescent="0.3">
      <c r="A56" s="1">
        <v>43647</v>
      </c>
      <c r="B56" s="4">
        <f>IF(AAPL!H56="","",AAPL!H56)</f>
        <v>7.6394577012003945E-2</v>
      </c>
      <c r="C56" s="5">
        <f>IF(MSFT!H56="","",MSFT!H56)</f>
        <v>1.7244109977723982E-2</v>
      </c>
      <c r="D56" s="5">
        <f>IF(WMT!H56="","",WMT!H56)</f>
        <v>-9.9558738821092807E-4</v>
      </c>
      <c r="E56" s="5">
        <f>IF(BA!H56="","",BA!H56)</f>
        <v>-6.271813149035782E-2</v>
      </c>
      <c r="F56" s="5">
        <f t="shared" si="2"/>
        <v>0</v>
      </c>
      <c r="G56" s="5">
        <f t="shared" si="2"/>
        <v>0</v>
      </c>
      <c r="H56" s="5">
        <f t="shared" si="2"/>
        <v>-9.9558738821092807E-4</v>
      </c>
      <c r="I56" s="5">
        <f t="shared" si="2"/>
        <v>-6.271813149035782E-2</v>
      </c>
      <c r="J56" s="5"/>
    </row>
    <row r="57" spans="1:10" x14ac:dyDescent="0.3">
      <c r="A57" s="1">
        <v>43678</v>
      </c>
      <c r="B57" s="4">
        <f>IF(AAPL!H57="","",AAPL!H57)</f>
        <v>-2.018406966966307E-2</v>
      </c>
      <c r="C57" s="5">
        <f>IF(MSFT!H57="","",MSFT!H57)</f>
        <v>1.1667978569027262E-2</v>
      </c>
      <c r="D57" s="5">
        <f>IF(WMT!H57="","",WMT!H57)</f>
        <v>3.5151002519933881E-2</v>
      </c>
      <c r="E57" s="5">
        <f>IF(BA!H57="","",BA!H57)</f>
        <v>6.7149323935154229E-2</v>
      </c>
      <c r="F57" s="5">
        <f t="shared" si="2"/>
        <v>-2.018406966966307E-2</v>
      </c>
      <c r="G57" s="5">
        <f t="shared" si="2"/>
        <v>0</v>
      </c>
      <c r="H57" s="5">
        <f t="shared" si="2"/>
        <v>0</v>
      </c>
      <c r="I57" s="5">
        <f t="shared" si="2"/>
        <v>0</v>
      </c>
      <c r="J57" s="5"/>
    </row>
    <row r="58" spans="1:10" x14ac:dyDescent="0.3">
      <c r="A58" s="1">
        <v>43709</v>
      </c>
      <c r="B58" s="4">
        <f>IF(AAPL!H58="","",AAPL!H58)</f>
        <v>7.7038201281806662E-2</v>
      </c>
      <c r="C58" s="5">
        <f>IF(MSFT!H58="","",MSFT!H58)</f>
        <v>1.184502924975144E-2</v>
      </c>
      <c r="D58" s="5">
        <f>IF(WMT!H58="","",WMT!H58)</f>
        <v>4.3796876455196816E-2</v>
      </c>
      <c r="E58" s="5">
        <f>IF(BA!H58="","",BA!H58)</f>
        <v>5.1509616902512004E-2</v>
      </c>
      <c r="F58" s="5">
        <f t="shared" si="2"/>
        <v>0</v>
      </c>
      <c r="G58" s="5">
        <f t="shared" si="2"/>
        <v>0</v>
      </c>
      <c r="H58" s="5">
        <f t="shared" si="2"/>
        <v>0</v>
      </c>
      <c r="I58" s="5">
        <f t="shared" si="2"/>
        <v>0</v>
      </c>
      <c r="J58" s="5"/>
    </row>
    <row r="59" spans="1:10" x14ac:dyDescent="0.3">
      <c r="A59" s="1">
        <v>43739</v>
      </c>
      <c r="B59" s="4">
        <f>IF(AAPL!H59="","",AAPL!H59)</f>
        <v>0.11068452251410899</v>
      </c>
      <c r="C59" s="5">
        <f>IF(MSFT!H59="","",MSFT!H59)</f>
        <v>3.1216244491890345E-2</v>
      </c>
      <c r="D59" s="5">
        <f>IF(WMT!H59="","",WMT!H59)</f>
        <v>-1.1964864414765786E-2</v>
      </c>
      <c r="E59" s="5">
        <f>IF(BA!H59="","",BA!H59)</f>
        <v>-0.10660494202053206</v>
      </c>
      <c r="F59" s="5">
        <f t="shared" si="2"/>
        <v>0</v>
      </c>
      <c r="G59" s="5">
        <f t="shared" si="2"/>
        <v>0</v>
      </c>
      <c r="H59" s="5">
        <f t="shared" si="2"/>
        <v>-1.1964864414765786E-2</v>
      </c>
      <c r="I59" s="5">
        <f t="shared" si="2"/>
        <v>-0.10660494202053206</v>
      </c>
      <c r="J59" s="5"/>
    </row>
    <row r="60" spans="1:10" x14ac:dyDescent="0.3">
      <c r="A60" s="1">
        <v>43770</v>
      </c>
      <c r="B60" s="4">
        <f>IF(AAPL!H60="","",AAPL!H60)</f>
        <v>7.4328655673767591E-2</v>
      </c>
      <c r="C60" s="5">
        <f>IF(MSFT!H60="","",MSFT!H60)</f>
        <v>5.5869389517396312E-2</v>
      </c>
      <c r="D60" s="5">
        <f>IF(WMT!H60="","",WMT!H60)</f>
        <v>1.5606285524588212E-2</v>
      </c>
      <c r="E60" s="5">
        <f>IF(BA!H60="","",BA!H60)</f>
        <v>7.7285149856484214E-2</v>
      </c>
      <c r="F60" s="5">
        <f t="shared" si="2"/>
        <v>0</v>
      </c>
      <c r="G60" s="5">
        <f t="shared" si="2"/>
        <v>0</v>
      </c>
      <c r="H60" s="5">
        <f t="shared" si="2"/>
        <v>0</v>
      </c>
      <c r="I60" s="5">
        <f t="shared" si="2"/>
        <v>0</v>
      </c>
      <c r="J60" s="5"/>
    </row>
    <row r="61" spans="1:10" x14ac:dyDescent="0.3">
      <c r="A61" s="1">
        <v>43800</v>
      </c>
      <c r="B61" s="4">
        <f>IF(AAPL!H61="","",AAPL!H61)</f>
        <v>0.10208261195409274</v>
      </c>
      <c r="C61" s="5">
        <f>IF(MSFT!H61="","",MSFT!H61)</f>
        <v>4.5294158289172839E-2</v>
      </c>
      <c r="D61" s="5">
        <f>IF(WMT!H61="","",WMT!H61)</f>
        <v>-2.0992189445201439E-3</v>
      </c>
      <c r="E61" s="5">
        <f>IF(BA!H61="","",BA!H61)</f>
        <v>-0.10519114469543107</v>
      </c>
      <c r="F61" s="5">
        <f t="shared" si="2"/>
        <v>0</v>
      </c>
      <c r="G61" s="5">
        <f t="shared" si="2"/>
        <v>0</v>
      </c>
      <c r="H61" s="5">
        <f t="shared" si="2"/>
        <v>-2.0992189445201439E-3</v>
      </c>
      <c r="I61" s="5">
        <f t="shared" si="2"/>
        <v>-0.10519114469543107</v>
      </c>
      <c r="J61" s="5"/>
    </row>
    <row r="62" spans="1:10" x14ac:dyDescent="0.3">
      <c r="A62" s="1">
        <v>43831</v>
      </c>
      <c r="B62" s="4">
        <f>IF(AAPL!H62="","",AAPL!H62)</f>
        <v>5.4009803975307101E-2</v>
      </c>
      <c r="C62" s="5">
        <f>IF(MSFT!H62="","",MSFT!H62)</f>
        <v>7.9454345358864448E-2</v>
      </c>
      <c r="D62" s="5">
        <f>IF(WMT!H62="","",WMT!H62)</f>
        <v>-3.2282645934541554E-2</v>
      </c>
      <c r="E62" s="5">
        <f>IF(BA!H62="","",BA!H62)</f>
        <v>-2.2992507877038583E-2</v>
      </c>
      <c r="F62" s="5">
        <f t="shared" si="2"/>
        <v>0</v>
      </c>
      <c r="G62" s="5">
        <f t="shared" si="2"/>
        <v>0</v>
      </c>
      <c r="H62" s="5">
        <f t="shared" si="2"/>
        <v>-3.2282645934541554E-2</v>
      </c>
      <c r="I62" s="5">
        <f t="shared" si="2"/>
        <v>-2.2992507877038583E-2</v>
      </c>
      <c r="J62" s="5"/>
    </row>
    <row r="63" spans="1:10" x14ac:dyDescent="0.3">
      <c r="A63" s="1">
        <v>43862</v>
      </c>
      <c r="B63" s="4">
        <f>IF(AAPL!H63="","",AAPL!H63)</f>
        <v>-0.11679717507521407</v>
      </c>
      <c r="C63" s="5">
        <f>IF(MSFT!H63="","",MSFT!H63)</f>
        <v>-4.8287403703342474E-2</v>
      </c>
      <c r="D63" s="5">
        <f>IF(WMT!H63="","",WMT!H63)</f>
        <v>-5.948116241623199E-2</v>
      </c>
      <c r="E63" s="5">
        <f>IF(BA!H63="","",BA!H63)</f>
        <v>-0.13560812010780204</v>
      </c>
      <c r="F63" s="5">
        <f t="shared" si="2"/>
        <v>-0.11679717507521407</v>
      </c>
      <c r="G63" s="5">
        <f t="shared" si="2"/>
        <v>-4.8287403703342474E-2</v>
      </c>
      <c r="H63" s="5">
        <f t="shared" si="2"/>
        <v>-5.948116241623199E-2</v>
      </c>
      <c r="I63" s="5">
        <f t="shared" si="2"/>
        <v>-0.13560812010780204</v>
      </c>
      <c r="J63" s="5"/>
    </row>
    <row r="64" spans="1:10" x14ac:dyDescent="0.3">
      <c r="A64" s="1">
        <v>43891</v>
      </c>
      <c r="B64" s="4">
        <f>IF(AAPL!H64="","",AAPL!H64)</f>
        <v>-6.7553871737525292E-2</v>
      </c>
      <c r="C64" s="5">
        <f>IF(MSFT!H64="","",MSFT!H64)</f>
        <v>-2.3882540025796456E-2</v>
      </c>
      <c r="D64" s="5">
        <f>IF(WMT!H64="","",WMT!H64)</f>
        <v>5.516334184384139E-2</v>
      </c>
      <c r="E64" s="5">
        <f>IF(BA!H64="","",BA!H64)</f>
        <v>-0.45466416067648907</v>
      </c>
      <c r="F64" s="5">
        <f t="shared" si="2"/>
        <v>-6.7553871737525292E-2</v>
      </c>
      <c r="G64" s="5">
        <f t="shared" si="2"/>
        <v>-2.3882540025796456E-2</v>
      </c>
      <c r="H64" s="5">
        <f t="shared" si="2"/>
        <v>0</v>
      </c>
      <c r="I64" s="5">
        <f t="shared" si="2"/>
        <v>-0.45466416067648907</v>
      </c>
      <c r="J64" s="5"/>
    </row>
    <row r="65" spans="1:10" x14ac:dyDescent="0.3">
      <c r="A65" s="1">
        <v>43922</v>
      </c>
      <c r="B65" s="4">
        <f>IF(AAPL!H65="","",AAPL!H65)</f>
        <v>0.15537368387570452</v>
      </c>
      <c r="C65" s="5">
        <f>IF(MSFT!H65="","",MSFT!H65)</f>
        <v>0.13632607413484957</v>
      </c>
      <c r="D65" s="5">
        <f>IF(WMT!H65="","",WMT!H65)</f>
        <v>7.4527559076226255E-2</v>
      </c>
      <c r="E65" s="5">
        <f>IF(BA!H65="","",BA!H65)</f>
        <v>-5.4445454300961808E-2</v>
      </c>
      <c r="F65" s="5">
        <f t="shared" si="2"/>
        <v>0</v>
      </c>
      <c r="G65" s="5">
        <f t="shared" si="2"/>
        <v>0</v>
      </c>
      <c r="H65" s="5">
        <f t="shared" si="2"/>
        <v>0</v>
      </c>
      <c r="I65" s="5">
        <f t="shared" si="2"/>
        <v>-5.4445454300961808E-2</v>
      </c>
      <c r="J65" s="5"/>
    </row>
    <row r="66" spans="1:10" x14ac:dyDescent="0.3">
      <c r="A66" s="1">
        <v>43952</v>
      </c>
      <c r="B66" s="4">
        <f>IF(AAPL!H66="","",AAPL!H66)</f>
        <v>8.216483919262374E-2</v>
      </c>
      <c r="C66" s="5">
        <f>IF(MSFT!H66="","",MSFT!H66)</f>
        <v>2.2543211434722103E-2</v>
      </c>
      <c r="D66" s="5">
        <f>IF(WMT!H66="","",WMT!H66)</f>
        <v>2.0650039072808678E-2</v>
      </c>
      <c r="E66" s="5">
        <f>IF(BA!H66="","",BA!H66)</f>
        <v>3.4250474138406685E-2</v>
      </c>
      <c r="F66" s="5">
        <f t="shared" si="2"/>
        <v>0</v>
      </c>
      <c r="G66" s="5">
        <f t="shared" si="2"/>
        <v>0</v>
      </c>
      <c r="H66" s="5">
        <f t="shared" si="2"/>
        <v>0</v>
      </c>
      <c r="I66" s="5">
        <f t="shared" si="2"/>
        <v>0</v>
      </c>
      <c r="J66" s="5"/>
    </row>
    <row r="67" spans="1:10" x14ac:dyDescent="0.3">
      <c r="A67" s="1">
        <v>43983</v>
      </c>
      <c r="B67" s="4">
        <f>IF(AAPL!H67="","",AAPL!H67)</f>
        <v>0.15049213867887282</v>
      </c>
      <c r="C67" s="5">
        <f>IF(MSFT!H67="","",MSFT!H67)</f>
        <v>0.11365246174350624</v>
      </c>
      <c r="D67" s="5">
        <f>IF(WMT!H67="","",WMT!H67)</f>
        <v>-3.0252481124393871E-2</v>
      </c>
      <c r="E67" s="5">
        <f>IF(BA!H67="","",BA!H67)</f>
        <v>0.25677062365016284</v>
      </c>
      <c r="F67" s="5">
        <f t="shared" si="2"/>
        <v>0</v>
      </c>
      <c r="G67" s="5">
        <f t="shared" si="2"/>
        <v>0</v>
      </c>
      <c r="H67" s="5">
        <f t="shared" si="2"/>
        <v>-3.0252481124393871E-2</v>
      </c>
      <c r="I67" s="5">
        <f t="shared" si="2"/>
        <v>0</v>
      </c>
      <c r="J67" s="5"/>
    </row>
    <row r="68" spans="1:10" x14ac:dyDescent="0.3">
      <c r="A68" s="1">
        <v>44013</v>
      </c>
      <c r="B68" s="4">
        <f>IF(AAPL!H68="","",AAPL!H68)</f>
        <v>0.16513159335841091</v>
      </c>
      <c r="C68" s="5">
        <f>IF(MSFT!H68="","",MSFT!H68)</f>
        <v>7.3704269066613452E-3</v>
      </c>
      <c r="D68" s="5">
        <f>IF(WMT!H68="","",WMT!H68)</f>
        <v>8.0313913657373615E-2</v>
      </c>
      <c r="E68" s="5">
        <f>IF(BA!H68="","",BA!H68)</f>
        <v>-0.13802510957951269</v>
      </c>
      <c r="F68" s="5">
        <f t="shared" ref="F68:I115" si="8">IF(B68&gt;0,0,B68)</f>
        <v>0</v>
      </c>
      <c r="G68" s="5">
        <f t="shared" si="8"/>
        <v>0</v>
      </c>
      <c r="H68" s="5">
        <f t="shared" si="8"/>
        <v>0</v>
      </c>
      <c r="I68" s="5">
        <f t="shared" si="8"/>
        <v>-0.13802510957951269</v>
      </c>
      <c r="J68" s="5"/>
    </row>
    <row r="69" spans="1:10" x14ac:dyDescent="0.3">
      <c r="A69" s="1">
        <v>44044</v>
      </c>
      <c r="B69" s="4">
        <f>IF(AAPL!H69="","",AAPL!H69)</f>
        <v>0.21437995101793367</v>
      </c>
      <c r="C69" s="5">
        <f>IF(MSFT!H69="","",MSFT!H69)</f>
        <v>0.10009288005050072</v>
      </c>
      <c r="D69" s="5">
        <f>IF(WMT!H69="","",WMT!H69)</f>
        <v>7.3029603432380769E-2</v>
      </c>
      <c r="E69" s="5">
        <f>IF(BA!H69="","",BA!H69)</f>
        <v>8.7468398734177236E-2</v>
      </c>
      <c r="F69" s="5">
        <f t="shared" si="8"/>
        <v>0</v>
      </c>
      <c r="G69" s="5">
        <f t="shared" si="8"/>
        <v>0</v>
      </c>
      <c r="H69" s="5">
        <f t="shared" si="8"/>
        <v>0</v>
      </c>
      <c r="I69" s="5">
        <f t="shared" si="8"/>
        <v>0</v>
      </c>
      <c r="J69" s="5"/>
    </row>
    <row r="70" spans="1:10" x14ac:dyDescent="0.3">
      <c r="A70" s="1">
        <v>44075</v>
      </c>
      <c r="B70" s="4">
        <f>IF(AAPL!H70="","",AAPL!H70)</f>
        <v>-0.10090833036626891</v>
      </c>
      <c r="C70" s="5">
        <f>IF(MSFT!H70="","",MSFT!H70)</f>
        <v>-6.5142422782648229E-2</v>
      </c>
      <c r="D70" s="5">
        <f>IF(WMT!H70="","",WMT!H70)</f>
        <v>1.1776410548069041E-2</v>
      </c>
      <c r="E70" s="5">
        <f>IF(BA!H70="","",BA!H70)</f>
        <v>-3.8179558449209006E-2</v>
      </c>
      <c r="F70" s="5">
        <f t="shared" si="8"/>
        <v>-0.10090833036626891</v>
      </c>
      <c r="G70" s="5">
        <f t="shared" si="8"/>
        <v>-6.5142422782648229E-2</v>
      </c>
      <c r="H70" s="5">
        <f t="shared" si="8"/>
        <v>0</v>
      </c>
      <c r="I70" s="5">
        <f t="shared" si="8"/>
        <v>-3.8179558449209006E-2</v>
      </c>
      <c r="J70" s="5"/>
    </row>
    <row r="71" spans="1:10" x14ac:dyDescent="0.3">
      <c r="A71" s="1">
        <v>44105</v>
      </c>
      <c r="B71" s="4">
        <f>IF(AAPL!H71="","",AAPL!H71)</f>
        <v>-6.0011949794201422E-2</v>
      </c>
      <c r="C71" s="5">
        <f>IF(MSFT!H71="","",MSFT!H71)</f>
        <v>-3.736990364966989E-2</v>
      </c>
      <c r="D71" s="5">
        <f>IF(WMT!H71="","",WMT!H71)</f>
        <v>-8.2908566799305208E-3</v>
      </c>
      <c r="E71" s="5">
        <f>IF(BA!H71="","",BA!H71)</f>
        <v>-0.1262858322124481</v>
      </c>
      <c r="F71" s="5">
        <f t="shared" si="8"/>
        <v>-6.0011949794201422E-2</v>
      </c>
      <c r="G71" s="5">
        <f t="shared" si="8"/>
        <v>-3.736990364966989E-2</v>
      </c>
      <c r="H71" s="5">
        <f t="shared" si="8"/>
        <v>-8.2908566799305208E-3</v>
      </c>
      <c r="I71" s="5">
        <f t="shared" si="8"/>
        <v>-0.1262858322124481</v>
      </c>
      <c r="J71" s="5"/>
    </row>
    <row r="72" spans="1:10" x14ac:dyDescent="0.3">
      <c r="A72" s="1">
        <v>44136</v>
      </c>
      <c r="B72" s="4">
        <f>IF(AAPL!H72="","",AAPL!H72)</f>
        <v>9.3606229957705567E-2</v>
      </c>
      <c r="C72" s="5">
        <f>IF(MSFT!H72="","",MSFT!H72)</f>
        <v>5.7292449498122615E-2</v>
      </c>
      <c r="D72" s="5">
        <f>IF(WMT!H72="","",WMT!H72)</f>
        <v>0.10118906922411987</v>
      </c>
      <c r="E72" s="5">
        <f>IF(BA!H72="","",BA!H72)</f>
        <v>0.4593116452615254</v>
      </c>
      <c r="F72" s="5">
        <f t="shared" si="8"/>
        <v>0</v>
      </c>
      <c r="G72" s="5">
        <f t="shared" si="8"/>
        <v>0</v>
      </c>
      <c r="H72" s="5">
        <f t="shared" si="8"/>
        <v>0</v>
      </c>
      <c r="I72" s="5">
        <f t="shared" si="8"/>
        <v>0</v>
      </c>
      <c r="J72" s="5"/>
    </row>
    <row r="73" spans="1:10" x14ac:dyDescent="0.3">
      <c r="A73" s="1">
        <v>44166</v>
      </c>
      <c r="B73" s="4">
        <f>IF(AAPL!H73="","",AAPL!H73)</f>
        <v>0.11649697897793193</v>
      </c>
      <c r="C73" s="5">
        <f>IF(MSFT!H73="","",MSFT!H73)</f>
        <v>4.1726126451646424E-2</v>
      </c>
      <c r="D73" s="5">
        <f>IF(WMT!H73="","",WMT!H73)</f>
        <v>-5.6548183966283555E-2</v>
      </c>
      <c r="E73" s="5">
        <f>IF(BA!H73="","",BA!H73)</f>
        <v>1.589858520578008E-2</v>
      </c>
      <c r="F73" s="5">
        <f t="shared" si="8"/>
        <v>0</v>
      </c>
      <c r="G73" s="5">
        <f t="shared" si="8"/>
        <v>0</v>
      </c>
      <c r="H73" s="5">
        <f t="shared" si="8"/>
        <v>-5.6548183966283555E-2</v>
      </c>
      <c r="I73" s="5">
        <f t="shared" si="8"/>
        <v>0</v>
      </c>
      <c r="J73" s="5"/>
    </row>
    <row r="74" spans="1:10" x14ac:dyDescent="0.3">
      <c r="A74" s="1">
        <v>44197</v>
      </c>
      <c r="B74" s="4">
        <f>IF(AAPL!H74="","",AAPL!H74)</f>
        <v>-5.5017156099886272E-3</v>
      </c>
      <c r="C74" s="5">
        <f>IF(MSFT!H74="","",MSFT!H74)</f>
        <v>4.2891916482157268E-2</v>
      </c>
      <c r="D74" s="5">
        <f>IF(WMT!H74="","",WMT!H74)</f>
        <v>-2.1827499139350739E-2</v>
      </c>
      <c r="E74" s="5">
        <f>IF(BA!H74="","",BA!H74)</f>
        <v>-9.2824423926230318E-2</v>
      </c>
      <c r="F74" s="5">
        <f t="shared" si="8"/>
        <v>-5.5017156099886272E-3</v>
      </c>
      <c r="G74" s="5">
        <f t="shared" si="8"/>
        <v>0</v>
      </c>
      <c r="H74" s="5">
        <f t="shared" si="8"/>
        <v>-2.1827499139350739E-2</v>
      </c>
      <c r="I74" s="5">
        <f t="shared" si="8"/>
        <v>-9.2824423926230318E-2</v>
      </c>
      <c r="J74" s="5"/>
    </row>
    <row r="75" spans="1:10" x14ac:dyDescent="0.3">
      <c r="A75" s="1">
        <v>44228</v>
      </c>
      <c r="B75" s="4">
        <f>IF(AAPL!H75="","",AAPL!H75)</f>
        <v>-8.1085252500403257E-2</v>
      </c>
      <c r="C75" s="5">
        <f>IF(MSFT!H75="","",MSFT!H75)</f>
        <v>1.8106861459574945E-3</v>
      </c>
      <c r="D75" s="5">
        <f>IF(WMT!H75="","",WMT!H75)</f>
        <v>-7.523679856754191E-2</v>
      </c>
      <c r="E75" s="5">
        <f>IF(BA!H75="","",BA!H75)</f>
        <v>9.1765759392700416E-2</v>
      </c>
      <c r="F75" s="5">
        <f t="shared" si="8"/>
        <v>-8.1085252500403257E-2</v>
      </c>
      <c r="G75" s="5">
        <f t="shared" si="8"/>
        <v>0</v>
      </c>
      <c r="H75" s="5">
        <f t="shared" si="8"/>
        <v>-7.523679856754191E-2</v>
      </c>
      <c r="I75" s="5">
        <f t="shared" si="8"/>
        <v>0</v>
      </c>
      <c r="J75" s="5"/>
    </row>
    <row r="76" spans="1:10" x14ac:dyDescent="0.3">
      <c r="A76" s="1">
        <v>44256</v>
      </c>
      <c r="B76" s="4">
        <f>IF(AAPL!H76="","",AAPL!H76)</f>
        <v>8.8449973870889844E-3</v>
      </c>
      <c r="C76" s="5">
        <f>IF(MSFT!H76="","",MSFT!H76)</f>
        <v>1.6924900863504146E-2</v>
      </c>
      <c r="D76" s="5">
        <f>IF(WMT!H76="","",WMT!H76)</f>
        <v>4.5489686004697751E-2</v>
      </c>
      <c r="E76" s="5">
        <f>IF(BA!H76="","",BA!H76)</f>
        <v>0.20145279471375863</v>
      </c>
      <c r="F76" s="5">
        <f t="shared" si="8"/>
        <v>0</v>
      </c>
      <c r="G76" s="5">
        <f t="shared" si="8"/>
        <v>0</v>
      </c>
      <c r="H76" s="5">
        <f t="shared" si="8"/>
        <v>0</v>
      </c>
      <c r="I76" s="5">
        <f t="shared" si="8"/>
        <v>0</v>
      </c>
      <c r="J76" s="5"/>
    </row>
    <row r="77" spans="1:10" x14ac:dyDescent="0.3">
      <c r="A77" s="1">
        <v>44287</v>
      </c>
      <c r="B77" s="4">
        <f>IF(AAPL!H77="","",AAPL!H77)</f>
        <v>7.6217645017848959E-2</v>
      </c>
      <c r="C77" s="5">
        <f>IF(MSFT!H77="","",MSFT!H77)</f>
        <v>6.9601597650494423E-2</v>
      </c>
      <c r="D77" s="5">
        <f>IF(WMT!H77="","",WMT!H77)</f>
        <v>3.4337785019969633E-2</v>
      </c>
      <c r="E77" s="5">
        <f>IF(BA!H77="","",BA!H77)</f>
        <v>-8.0127209955530701E-2</v>
      </c>
      <c r="F77" s="5">
        <f t="shared" si="8"/>
        <v>0</v>
      </c>
      <c r="G77" s="5">
        <f t="shared" si="8"/>
        <v>0</v>
      </c>
      <c r="H77" s="5">
        <f t="shared" si="8"/>
        <v>0</v>
      </c>
      <c r="I77" s="5">
        <f t="shared" si="8"/>
        <v>-8.0127209955530701E-2</v>
      </c>
      <c r="J77" s="5"/>
    </row>
    <row r="78" spans="1:10" x14ac:dyDescent="0.3">
      <c r="A78" s="1">
        <v>44317</v>
      </c>
      <c r="B78" s="4">
        <f>IF(AAPL!H78="","",AAPL!H78)</f>
        <v>-5.2107007824734666E-2</v>
      </c>
      <c r="C78" s="5">
        <f>IF(MSFT!H78="","",MSFT!H78)</f>
        <v>-9.9134345299805252E-3</v>
      </c>
      <c r="D78" s="5">
        <f>IF(WMT!H78="","",WMT!H78)</f>
        <v>1.5152870075878403E-2</v>
      </c>
      <c r="E78" s="5">
        <f>IF(BA!H78="","",BA!H78)</f>
        <v>5.4244403177366729E-2</v>
      </c>
      <c r="F78" s="5">
        <f t="shared" si="8"/>
        <v>-5.2107007824734666E-2</v>
      </c>
      <c r="G78" s="5">
        <f t="shared" si="8"/>
        <v>-9.9134345299805252E-3</v>
      </c>
      <c r="H78" s="5">
        <f t="shared" si="8"/>
        <v>0</v>
      </c>
      <c r="I78" s="5">
        <f t="shared" si="8"/>
        <v>0</v>
      </c>
      <c r="J78" s="5"/>
    </row>
    <row r="79" spans="1:10" x14ac:dyDescent="0.3">
      <c r="A79" s="1">
        <v>44348</v>
      </c>
      <c r="B79" s="4">
        <f>IF(AAPL!H79="","",AAPL!H79)</f>
        <v>0.10097622510648617</v>
      </c>
      <c r="C79" s="5">
        <f>IF(MSFT!H79="","",MSFT!H79)</f>
        <v>8.7493881941837937E-2</v>
      </c>
      <c r="D79" s="5">
        <f>IF(WMT!H79="","",WMT!H79)</f>
        <v>-3.2119310200756411E-3</v>
      </c>
      <c r="E79" s="5">
        <f>IF(BA!H79="","",BA!H79)</f>
        <v>-3.0200007607481025E-2</v>
      </c>
      <c r="F79" s="5">
        <f t="shared" si="8"/>
        <v>0</v>
      </c>
      <c r="G79" s="5">
        <f t="shared" si="8"/>
        <v>0</v>
      </c>
      <c r="H79" s="5">
        <f t="shared" si="8"/>
        <v>-3.2119310200756411E-3</v>
      </c>
      <c r="I79" s="5">
        <f t="shared" si="8"/>
        <v>-3.0200007607481025E-2</v>
      </c>
      <c r="J79" s="5"/>
    </row>
    <row r="80" spans="1:10" x14ac:dyDescent="0.3">
      <c r="A80" s="1">
        <v>44378</v>
      </c>
      <c r="B80" s="4">
        <f>IF(AAPL!H80="","",AAPL!H80)</f>
        <v>6.4982139670908254E-2</v>
      </c>
      <c r="C80" s="5">
        <f>IF(MSFT!H80="","",MSFT!H80)</f>
        <v>5.17169437176987E-2</v>
      </c>
      <c r="D80" s="5">
        <f>IF(WMT!H80="","",WMT!H80)</f>
        <v>1.084928872207069E-2</v>
      </c>
      <c r="E80" s="5">
        <f>IF(BA!H80="","",BA!H80)</f>
        <v>-5.4600108988145872E-2</v>
      </c>
      <c r="F80" s="5">
        <f t="shared" si="8"/>
        <v>0</v>
      </c>
      <c r="G80" s="5">
        <f t="shared" si="8"/>
        <v>0</v>
      </c>
      <c r="H80" s="5">
        <f t="shared" si="8"/>
        <v>0</v>
      </c>
      <c r="I80" s="5">
        <f t="shared" si="8"/>
        <v>-5.4600108988145872E-2</v>
      </c>
      <c r="J80" s="5"/>
    </row>
    <row r="81" spans="1:10" x14ac:dyDescent="0.3">
      <c r="A81" s="1">
        <v>44409</v>
      </c>
      <c r="B81" s="4">
        <f>IF(AAPL!H81="","",AAPL!H81)</f>
        <v>4.0929959084126319E-2</v>
      </c>
      <c r="C81" s="5">
        <f>IF(MSFT!H81="","",MSFT!H81)</f>
        <v>5.9562624258768404E-2</v>
      </c>
      <c r="D81" s="5">
        <f>IF(WMT!H81="","",WMT!H81)</f>
        <v>3.8933834186851438E-2</v>
      </c>
      <c r="E81" s="5">
        <f>IF(BA!H81="","",BA!H81)</f>
        <v>-3.081948129317346E-2</v>
      </c>
      <c r="F81" s="5">
        <f t="shared" si="8"/>
        <v>0</v>
      </c>
      <c r="G81" s="5">
        <f t="shared" si="8"/>
        <v>0</v>
      </c>
      <c r="H81" s="5">
        <f t="shared" si="8"/>
        <v>0</v>
      </c>
      <c r="I81" s="5">
        <f t="shared" si="8"/>
        <v>-3.081948129317346E-2</v>
      </c>
      <c r="J81" s="5"/>
    </row>
    <row r="82" spans="1:10" x14ac:dyDescent="0.3">
      <c r="A82" s="1">
        <v>44440</v>
      </c>
      <c r="B82" s="4">
        <f>IF(AAPL!H82="","",AAPL!H82)</f>
        <v>-6.6640378015309726E-2</v>
      </c>
      <c r="C82" s="5">
        <f>IF(MSFT!H82="","",MSFT!H82)</f>
        <v>-6.4331315998858815E-2</v>
      </c>
      <c r="D82" s="5">
        <f>IF(WMT!H82="","",WMT!H82)</f>
        <v>-5.5415913419007472E-2</v>
      </c>
      <c r="E82" s="5">
        <f>IF(BA!H82="","",BA!H82)</f>
        <v>2.0045649202733154E-3</v>
      </c>
      <c r="F82" s="5">
        <f t="shared" si="8"/>
        <v>-6.6640378015309726E-2</v>
      </c>
      <c r="G82" s="5">
        <f t="shared" si="8"/>
        <v>-6.4331315998858815E-2</v>
      </c>
      <c r="H82" s="5">
        <f t="shared" si="8"/>
        <v>-5.5415913419007472E-2</v>
      </c>
      <c r="I82" s="5">
        <f t="shared" si="8"/>
        <v>0</v>
      </c>
      <c r="J82" s="5"/>
    </row>
    <row r="83" spans="1:10" x14ac:dyDescent="0.3">
      <c r="A83" s="1">
        <v>44470</v>
      </c>
      <c r="B83" s="4">
        <f>IF(AAPL!H83="","",AAPL!H83)</f>
        <v>5.8657426410634032E-2</v>
      </c>
      <c r="C83" s="5">
        <f>IF(MSFT!H83="","",MSFT!H83)</f>
        <v>0.1762912935972385</v>
      </c>
      <c r="D83" s="5">
        <f>IF(WMT!H83="","",WMT!H83)</f>
        <v>7.2033285273666078E-2</v>
      </c>
      <c r="E83" s="5">
        <f>IF(BA!H83="","",BA!H83)</f>
        <v>-5.8697839786324951E-2</v>
      </c>
      <c r="F83" s="5">
        <f t="shared" si="8"/>
        <v>0</v>
      </c>
      <c r="G83" s="5">
        <f t="shared" si="8"/>
        <v>0</v>
      </c>
      <c r="H83" s="5">
        <f t="shared" si="8"/>
        <v>0</v>
      </c>
      <c r="I83" s="5">
        <f t="shared" si="8"/>
        <v>-5.8697839786324951E-2</v>
      </c>
      <c r="J83" s="5"/>
    </row>
    <row r="84" spans="1:10" x14ac:dyDescent="0.3">
      <c r="A84" s="1">
        <v>44501</v>
      </c>
      <c r="B84" s="4">
        <f>IF(AAPL!H84="","",AAPL!H84)</f>
        <v>0.10347113144230316</v>
      </c>
      <c r="C84" s="5">
        <f>IF(MSFT!H84="","",MSFT!H84)</f>
        <v>-3.1059841638592478E-3</v>
      </c>
      <c r="D84" s="5">
        <f>IF(WMT!H84="","",WMT!H84)</f>
        <v>-5.8827274118342154E-2</v>
      </c>
      <c r="E84" s="5">
        <f>IF(BA!H84="","",BA!H84)</f>
        <v>-4.4341366199784391E-2</v>
      </c>
      <c r="F84" s="5">
        <f t="shared" si="8"/>
        <v>0</v>
      </c>
      <c r="G84" s="5">
        <f t="shared" si="8"/>
        <v>-3.1059841638592478E-3</v>
      </c>
      <c r="H84" s="5">
        <f t="shared" si="8"/>
        <v>-5.8827274118342154E-2</v>
      </c>
      <c r="I84" s="5">
        <f t="shared" si="8"/>
        <v>-4.4341366199784391E-2</v>
      </c>
      <c r="J84" s="5"/>
    </row>
    <row r="85" spans="1:10" x14ac:dyDescent="0.3">
      <c r="A85" s="1">
        <v>44531</v>
      </c>
      <c r="B85" s="4">
        <f>IF(AAPL!H85="","",AAPL!H85)</f>
        <v>7.5796457346765905E-2</v>
      </c>
      <c r="C85" s="5">
        <f>IF(MSFT!H85="","",MSFT!H85)</f>
        <v>1.9193789796672849E-2</v>
      </c>
      <c r="D85" s="5">
        <f>IF(WMT!H85="","",WMT!H85)</f>
        <v>2.887009839750454E-2</v>
      </c>
      <c r="E85" s="5">
        <f>IF(BA!H85="","",BA!H85)</f>
        <v>1.7538543819907673E-2</v>
      </c>
      <c r="F85" s="5">
        <f t="shared" si="8"/>
        <v>0</v>
      </c>
      <c r="G85" s="5">
        <f t="shared" si="8"/>
        <v>0</v>
      </c>
      <c r="H85" s="5">
        <f t="shared" si="8"/>
        <v>0</v>
      </c>
      <c r="I85" s="5">
        <f t="shared" si="8"/>
        <v>0</v>
      </c>
      <c r="J85" s="5"/>
    </row>
    <row r="86" spans="1:10" x14ac:dyDescent="0.3">
      <c r="A86" s="1">
        <v>44562</v>
      </c>
      <c r="B86" s="4">
        <f>IF(AAPL!H86="","",AAPL!H86)</f>
        <v>-1.5712117567682298E-2</v>
      </c>
      <c r="C86" s="5">
        <f>IF(MSFT!H86="","",MSFT!H86)</f>
        <v>-7.5344972930588089E-2</v>
      </c>
      <c r="D86" s="5">
        <f>IF(WMT!H86="","",WMT!H86)</f>
        <v>-2.9836929595158764E-2</v>
      </c>
      <c r="E86" s="5">
        <f>IF(BA!H86="","",BA!H86)</f>
        <v>-5.3646034296035341E-3</v>
      </c>
      <c r="F86" s="5">
        <f t="shared" si="8"/>
        <v>-1.5712117567682298E-2</v>
      </c>
      <c r="G86" s="5">
        <f t="shared" si="8"/>
        <v>-7.5344972930588089E-2</v>
      </c>
      <c r="H86" s="5">
        <f t="shared" si="8"/>
        <v>-2.9836929595158764E-2</v>
      </c>
      <c r="I86" s="5">
        <f t="shared" si="8"/>
        <v>-5.3646034296035341E-3</v>
      </c>
      <c r="J86" s="5"/>
    </row>
    <row r="87" spans="1:10" x14ac:dyDescent="0.3">
      <c r="A87" s="1">
        <v>44593</v>
      </c>
      <c r="B87" s="4">
        <f>IF(AAPL!H87="","",AAPL!H87)</f>
        <v>-5.5269514271577939E-2</v>
      </c>
      <c r="C87" s="5">
        <f>IF(MSFT!H87="","",MSFT!H87)</f>
        <v>-3.9198588676845225E-2</v>
      </c>
      <c r="D87" s="5">
        <f>IF(WMT!H87="","",WMT!H87)</f>
        <v>-3.3259292206556282E-2</v>
      </c>
      <c r="E87" s="5">
        <f>IF(BA!H87="","",BA!H87)</f>
        <v>2.5469391093952565E-2</v>
      </c>
      <c r="F87" s="5">
        <f t="shared" si="8"/>
        <v>-5.5269514271577939E-2</v>
      </c>
      <c r="G87" s="5">
        <f t="shared" si="8"/>
        <v>-3.9198588676845225E-2</v>
      </c>
      <c r="H87" s="5">
        <f t="shared" si="8"/>
        <v>-3.3259292206556282E-2</v>
      </c>
      <c r="I87" s="5">
        <f t="shared" si="8"/>
        <v>0</v>
      </c>
      <c r="J87" s="5"/>
    </row>
    <row r="88" spans="1:10" x14ac:dyDescent="0.3">
      <c r="A88" s="1">
        <v>44621</v>
      </c>
      <c r="B88" s="4">
        <f>IF(AAPL!H88="","",AAPL!H88)</f>
        <v>5.8820718757145257E-2</v>
      </c>
      <c r="C88" s="5">
        <f>IF(MSFT!H88="","",MSFT!H88)</f>
        <v>3.399542356194632E-2</v>
      </c>
      <c r="D88" s="5">
        <f>IF(WMT!H88="","",WMT!H88)</f>
        <v>0.10180523572907219</v>
      </c>
      <c r="E88" s="5">
        <f>IF(BA!H88="","",BA!H88)</f>
        <v>-6.7400390910692401E-2</v>
      </c>
      <c r="F88" s="5">
        <f t="shared" si="8"/>
        <v>0</v>
      </c>
      <c r="G88" s="5">
        <f t="shared" si="8"/>
        <v>0</v>
      </c>
      <c r="H88" s="5">
        <f t="shared" si="8"/>
        <v>0</v>
      </c>
      <c r="I88" s="5">
        <f t="shared" si="8"/>
        <v>-6.7400390910692401E-2</v>
      </c>
      <c r="J88" s="5"/>
    </row>
    <row r="89" spans="1:10" x14ac:dyDescent="0.3">
      <c r="A89" s="1">
        <v>44652</v>
      </c>
      <c r="B89" s="4">
        <f>IF(AAPL!H89="","",AAPL!H89)</f>
        <v>-9.713084991634742E-2</v>
      </c>
      <c r="C89" s="5">
        <f>IF(MSFT!H89="","",MSFT!H89)</f>
        <v>-9.9867082332565318E-2</v>
      </c>
      <c r="D89" s="5">
        <f>IF(WMT!H89="","",WMT!H89)</f>
        <v>3.1303422001366293E-2</v>
      </c>
      <c r="E89" s="5">
        <f>IF(BA!H89="","",BA!H89)</f>
        <v>-0.22276764490861611</v>
      </c>
      <c r="F89" s="5">
        <f t="shared" si="8"/>
        <v>-9.713084991634742E-2</v>
      </c>
      <c r="G89" s="5">
        <f t="shared" si="8"/>
        <v>-9.9867082332565318E-2</v>
      </c>
      <c r="H89" s="5">
        <f t="shared" si="8"/>
        <v>0</v>
      </c>
      <c r="I89" s="5">
        <f t="shared" si="8"/>
        <v>-0.22276764490861611</v>
      </c>
      <c r="J89" s="5"/>
    </row>
    <row r="90" spans="1:10" x14ac:dyDescent="0.3">
      <c r="A90" s="1">
        <v>44682</v>
      </c>
      <c r="B90" s="4">
        <f>IF(AAPL!H90="","",AAPL!H90)</f>
        <v>-5.5883251576236505E-2</v>
      </c>
      <c r="C90" s="5">
        <f>IF(MSFT!H90="","",MSFT!H90)</f>
        <v>-2.0358819390602682E-2</v>
      </c>
      <c r="D90" s="5">
        <f>IF(WMT!H90="","",WMT!H90)</f>
        <v>-0.15922607819810786</v>
      </c>
      <c r="E90" s="5">
        <f>IF(BA!H90="","",BA!H90)</f>
        <v>-0.11717281959615224</v>
      </c>
      <c r="F90" s="5">
        <f t="shared" si="8"/>
        <v>-5.5883251576236505E-2</v>
      </c>
      <c r="G90" s="5">
        <f t="shared" si="8"/>
        <v>-2.0358819390602682E-2</v>
      </c>
      <c r="H90" s="5">
        <f t="shared" si="8"/>
        <v>-0.15922607819810786</v>
      </c>
      <c r="I90" s="5">
        <f t="shared" si="8"/>
        <v>-0.11717281959615224</v>
      </c>
      <c r="J90" s="5"/>
    </row>
    <row r="91" spans="1:10" x14ac:dyDescent="0.3">
      <c r="A91" s="1">
        <v>44713</v>
      </c>
      <c r="B91" s="4">
        <f>IF(AAPL!H91="","",AAPL!H91)</f>
        <v>-8.0080119497831989E-2</v>
      </c>
      <c r="C91" s="5">
        <f>IF(MSFT!H91="","",MSFT!H91)</f>
        <v>-5.3120388228627122E-2</v>
      </c>
      <c r="D91" s="5">
        <f>IF(WMT!H91="","",WMT!H91)</f>
        <v>-5.1372625672901268E-2</v>
      </c>
      <c r="E91" s="5">
        <f>IF(BA!H91="","",BA!H91)</f>
        <v>4.0487117526048014E-2</v>
      </c>
      <c r="F91" s="5">
        <f t="shared" si="8"/>
        <v>-8.0080119497831989E-2</v>
      </c>
      <c r="G91" s="5">
        <f t="shared" si="8"/>
        <v>-5.3120388228627122E-2</v>
      </c>
      <c r="H91" s="5">
        <f t="shared" si="8"/>
        <v>-5.1372625672901268E-2</v>
      </c>
      <c r="I91" s="5">
        <f t="shared" si="8"/>
        <v>0</v>
      </c>
      <c r="J91" s="5"/>
    </row>
    <row r="92" spans="1:10" x14ac:dyDescent="0.3">
      <c r="A92" s="1">
        <v>44743</v>
      </c>
      <c r="B92" s="4">
        <f>IF(AAPL!H92="","",AAPL!H92)</f>
        <v>0.18863379229830599</v>
      </c>
      <c r="C92" s="5">
        <f>IF(MSFT!H92="","",MSFT!H92)</f>
        <v>9.3096857079690246E-2</v>
      </c>
      <c r="D92" s="5">
        <f>IF(WMT!H92="","",WMT!H92)</f>
        <v>8.611611125989356E-2</v>
      </c>
      <c r="E92" s="5">
        <f>IF(BA!H92="","",BA!H92)</f>
        <v>0.16522818047668103</v>
      </c>
      <c r="F92" s="5">
        <f t="shared" si="8"/>
        <v>0</v>
      </c>
      <c r="G92" s="5">
        <f t="shared" si="8"/>
        <v>0</v>
      </c>
      <c r="H92" s="5">
        <f t="shared" si="8"/>
        <v>0</v>
      </c>
      <c r="I92" s="5">
        <f t="shared" si="8"/>
        <v>0</v>
      </c>
      <c r="J92" s="5"/>
    </row>
    <row r="93" spans="1:10" x14ac:dyDescent="0.3">
      <c r="A93" s="1">
        <v>44774</v>
      </c>
      <c r="B93" s="4">
        <f>IF(AAPL!H93="","",AAPL!H93)</f>
        <v>-3.2551841135375736E-2</v>
      </c>
      <c r="C93" s="5">
        <f>IF(MSFT!H93="","",MSFT!H93)</f>
        <v>-6.8640133027271955E-2</v>
      </c>
      <c r="D93" s="5">
        <f>IF(WMT!H93="","",WMT!H93)</f>
        <v>3.7865311783119959E-3</v>
      </c>
      <c r="E93" s="5">
        <f>IF(BA!H93="","",BA!H93)</f>
        <v>5.9004583001751884E-3</v>
      </c>
      <c r="F93" s="5">
        <f t="shared" si="8"/>
        <v>-3.2551841135375736E-2</v>
      </c>
      <c r="G93" s="5">
        <f t="shared" si="8"/>
        <v>-6.8640133027271955E-2</v>
      </c>
      <c r="H93" s="5">
        <f t="shared" si="8"/>
        <v>0</v>
      </c>
      <c r="I93" s="5">
        <f t="shared" si="8"/>
        <v>0</v>
      </c>
      <c r="J93" s="5"/>
    </row>
    <row r="94" spans="1:10" x14ac:dyDescent="0.3">
      <c r="A94" s="1">
        <v>44805</v>
      </c>
      <c r="B94" s="4">
        <f>IF(AAPL!H94="","",AAPL!H94)</f>
        <v>-0.11975605534825329</v>
      </c>
      <c r="C94" s="5">
        <f>IF(MSFT!H94="","",MSFT!H94)</f>
        <v>-0.1073762016304881</v>
      </c>
      <c r="D94" s="5">
        <f>IF(WMT!H94="","",WMT!H94)</f>
        <v>-1.7239817944338973E-2</v>
      </c>
      <c r="E94" s="5">
        <f>IF(BA!H94="","",BA!H94)</f>
        <v>-0.24443056474258976</v>
      </c>
      <c r="F94" s="5">
        <f t="shared" si="8"/>
        <v>-0.11975605534825329</v>
      </c>
      <c r="G94" s="5">
        <f t="shared" si="8"/>
        <v>-0.1073762016304881</v>
      </c>
      <c r="H94" s="5">
        <f t="shared" si="8"/>
        <v>-1.7239817944338973E-2</v>
      </c>
      <c r="I94" s="5">
        <f t="shared" si="8"/>
        <v>-0.24443056474258976</v>
      </c>
      <c r="J94" s="5"/>
    </row>
    <row r="95" spans="1:10" x14ac:dyDescent="0.3">
      <c r="A95" s="1">
        <v>44835</v>
      </c>
      <c r="B95" s="4">
        <f>IF(AAPL!H95="","",AAPL!H95)</f>
        <v>0.10955140443023516</v>
      </c>
      <c r="C95" s="5">
        <f>IF(MSFT!H95="","",MSFT!H95)</f>
        <v>-3.3060790067171819E-3</v>
      </c>
      <c r="D95" s="5">
        <f>IF(WMT!H95="","",WMT!H95)</f>
        <v>9.7378554775599646E-2</v>
      </c>
      <c r="E95" s="5">
        <f>IF(BA!H95="","",BA!H95)</f>
        <v>0.17699035882077382</v>
      </c>
      <c r="F95" s="5">
        <f t="shared" si="8"/>
        <v>0</v>
      </c>
      <c r="G95" s="5">
        <f t="shared" si="8"/>
        <v>-3.3060790067171819E-3</v>
      </c>
      <c r="H95" s="5">
        <f t="shared" si="8"/>
        <v>0</v>
      </c>
      <c r="I95" s="5">
        <f t="shared" si="8"/>
        <v>0</v>
      </c>
      <c r="J95" s="5"/>
    </row>
    <row r="96" spans="1:10" x14ac:dyDescent="0.3">
      <c r="A96" s="1">
        <v>44866</v>
      </c>
      <c r="B96" s="4">
        <f>IF(AAPL!H96="","",AAPL!H96)</f>
        <v>-3.4628925741350819E-2</v>
      </c>
      <c r="C96" s="5">
        <f>IF(MSFT!H96="","",MSFT!H96)</f>
        <v>9.9125338313143865E-2</v>
      </c>
      <c r="D96" s="5">
        <f>IF(WMT!H96="","",WMT!H96)</f>
        <v>7.0891702181505575E-2</v>
      </c>
      <c r="E96" s="5">
        <f>IF(BA!H96="","",BA!H96)</f>
        <v>0.25521023981510915</v>
      </c>
      <c r="F96" s="5">
        <f t="shared" si="8"/>
        <v>-3.4628925741350819E-2</v>
      </c>
      <c r="G96" s="5">
        <f t="shared" si="8"/>
        <v>0</v>
      </c>
      <c r="H96" s="5">
        <f t="shared" si="8"/>
        <v>0</v>
      </c>
      <c r="I96" s="5">
        <f t="shared" si="8"/>
        <v>0</v>
      </c>
      <c r="J96" s="5"/>
    </row>
    <row r="97" spans="1:10" x14ac:dyDescent="0.3">
      <c r="A97" s="1">
        <v>44896</v>
      </c>
      <c r="B97" s="4">
        <f>IF(AAPL!H97="","",AAPL!H97)</f>
        <v>-0.12081639306652184</v>
      </c>
      <c r="C97" s="5">
        <f>IF(MSFT!H97="","",MSFT!H97)</f>
        <v>-5.7396476241717627E-2</v>
      </c>
      <c r="D97" s="5">
        <f>IF(WMT!H97="","",WMT!H97)</f>
        <v>-6.9741674565069869E-2</v>
      </c>
      <c r="E97" s="5">
        <f>IF(BA!H97="","",BA!H97)</f>
        <v>6.4903844339673319E-2</v>
      </c>
      <c r="F97" s="5">
        <f t="shared" si="8"/>
        <v>-0.12081639306652184</v>
      </c>
      <c r="G97" s="5">
        <f t="shared" si="8"/>
        <v>-5.7396476241717627E-2</v>
      </c>
      <c r="H97" s="5">
        <f t="shared" si="8"/>
        <v>-6.9741674565069869E-2</v>
      </c>
      <c r="I97" s="5">
        <f t="shared" si="8"/>
        <v>0</v>
      </c>
      <c r="J97" s="5"/>
    </row>
    <row r="98" spans="1:10" x14ac:dyDescent="0.3">
      <c r="A98" s="1">
        <v>44927</v>
      </c>
      <c r="B98" s="4">
        <f>IF(AAPL!H98="","",AAPL!H98)</f>
        <v>0.11052077823268729</v>
      </c>
      <c r="C98" s="5">
        <f>IF(MSFT!H98="","",MSFT!H98)</f>
        <v>3.3316615454608241E-2</v>
      </c>
      <c r="D98" s="5">
        <f>IF(WMT!H98="","",WMT!H98)</f>
        <v>1.849477350167468E-2</v>
      </c>
      <c r="E98" s="5">
        <f>IF(BA!H98="","",BA!H98)</f>
        <v>0.11816890340256962</v>
      </c>
      <c r="F98" s="5">
        <f t="shared" si="8"/>
        <v>0</v>
      </c>
      <c r="G98" s="5">
        <f t="shared" si="8"/>
        <v>0</v>
      </c>
      <c r="H98" s="5">
        <f t="shared" si="8"/>
        <v>0</v>
      </c>
      <c r="I98" s="5">
        <f t="shared" si="8"/>
        <v>0</v>
      </c>
      <c r="J98" s="5"/>
    </row>
    <row r="99" spans="1:10" x14ac:dyDescent="0.3">
      <c r="A99" s="1">
        <v>44958</v>
      </c>
      <c r="B99" s="4">
        <f>IF(AAPL!H99="","",AAPL!H99)</f>
        <v>2.1623386723158305E-2</v>
      </c>
      <c r="C99" s="5">
        <f>IF(MSFT!H99="","",MSFT!H99)</f>
        <v>6.4969988700367062E-3</v>
      </c>
      <c r="D99" s="5">
        <f>IF(WMT!H99="","",WMT!H99)</f>
        <v>-1.2094247643021907E-2</v>
      </c>
      <c r="E99" s="5">
        <f>IF(BA!H99="","",BA!H99)</f>
        <v>-5.3755854460093878E-2</v>
      </c>
      <c r="F99" s="5">
        <f t="shared" si="8"/>
        <v>0</v>
      </c>
      <c r="G99" s="5">
        <f t="shared" si="8"/>
        <v>0</v>
      </c>
      <c r="H99" s="5">
        <f t="shared" si="8"/>
        <v>-1.2094247643021907E-2</v>
      </c>
      <c r="I99" s="5">
        <f t="shared" si="8"/>
        <v>-5.3755854460093878E-2</v>
      </c>
      <c r="J99" s="5"/>
    </row>
    <row r="100" spans="1:10" x14ac:dyDescent="0.3">
      <c r="A100" s="1">
        <v>44986</v>
      </c>
      <c r="B100" s="4">
        <f>IF(AAPL!H100="","",AAPL!H100)</f>
        <v>0.12035640569277811</v>
      </c>
      <c r="C100" s="5">
        <f>IF(MSFT!H100="","",MSFT!H100)</f>
        <v>0.15877670663657792</v>
      </c>
      <c r="D100" s="5">
        <f>IF(WMT!H100="","",WMT!H100)</f>
        <v>3.7430571001423871E-2</v>
      </c>
      <c r="E100" s="5">
        <f>IF(BA!H100="","",BA!H100)</f>
        <v>5.3981591853412142E-2</v>
      </c>
      <c r="F100" s="5">
        <f t="shared" si="8"/>
        <v>0</v>
      </c>
      <c r="G100" s="5">
        <f t="shared" si="8"/>
        <v>0</v>
      </c>
      <c r="H100" s="5">
        <f t="shared" si="8"/>
        <v>0</v>
      </c>
      <c r="I100" s="5">
        <f t="shared" si="8"/>
        <v>0</v>
      </c>
      <c r="J100" s="5"/>
    </row>
    <row r="101" spans="1:10" x14ac:dyDescent="0.3">
      <c r="A101" s="1">
        <v>45017</v>
      </c>
      <c r="B101" s="4">
        <f>IF(AAPL!H101="","",AAPL!H101)</f>
        <v>2.8987378271849822E-2</v>
      </c>
      <c r="C101" s="5">
        <f>IF(MSFT!H101="","",MSFT!H101)</f>
        <v>6.5765019873020955E-2</v>
      </c>
      <c r="D101" s="5">
        <f>IF(WMT!H101="","",WMT!H101)</f>
        <v>2.8068987697521187E-2</v>
      </c>
      <c r="E101" s="5">
        <f>IF(BA!H101="","",BA!H101)</f>
        <v>-2.6596969289548453E-2</v>
      </c>
      <c r="F101" s="5">
        <f t="shared" si="8"/>
        <v>0</v>
      </c>
      <c r="G101" s="5">
        <f t="shared" si="8"/>
        <v>0</v>
      </c>
      <c r="H101" s="5">
        <f t="shared" si="8"/>
        <v>0</v>
      </c>
      <c r="I101" s="5">
        <f t="shared" si="8"/>
        <v>-2.6596969289548453E-2</v>
      </c>
      <c r="J101" s="5"/>
    </row>
    <row r="102" spans="1:10" x14ac:dyDescent="0.3">
      <c r="A102" s="1">
        <v>45047</v>
      </c>
      <c r="B102" s="4">
        <f>IF(AAPL!H102="","",AAPL!H102)</f>
        <v>4.4613385314908431E-2</v>
      </c>
      <c r="C102" s="5">
        <f>IF(MSFT!H102="","",MSFT!H102)</f>
        <v>6.8769012498510806E-2</v>
      </c>
      <c r="D102" s="5">
        <f>IF(WMT!H102="","",WMT!H102)</f>
        <v>-2.715773574765985E-2</v>
      </c>
      <c r="E102" s="5">
        <f>IF(BA!H102="","",BA!H102)</f>
        <v>-5.2229519548455334E-3</v>
      </c>
      <c r="F102" s="5">
        <f t="shared" si="8"/>
        <v>0</v>
      </c>
      <c r="G102" s="5">
        <f t="shared" si="8"/>
        <v>0</v>
      </c>
      <c r="H102" s="5">
        <f t="shared" si="8"/>
        <v>-2.715773574765985E-2</v>
      </c>
      <c r="I102" s="5">
        <f t="shared" si="8"/>
        <v>-5.2229519548455334E-3</v>
      </c>
      <c r="J102" s="5"/>
    </row>
    <row r="103" spans="1:10" x14ac:dyDescent="0.3">
      <c r="A103" s="1">
        <v>45078</v>
      </c>
      <c r="B103" s="4">
        <f>IF(AAPL!H103="","",AAPL!H103)</f>
        <v>9.5843809345503864E-2</v>
      </c>
      <c r="C103" s="5">
        <f>IF(MSFT!H103="","",MSFT!H103)</f>
        <v>3.9265637829951829E-2</v>
      </c>
      <c r="D103" s="5">
        <f>IF(WMT!H103="","",WMT!H103)</f>
        <v>7.4263504286526436E-2</v>
      </c>
      <c r="E103" s="5">
        <f>IF(BA!H103="","",BA!H103)</f>
        <v>2.6543544383231032E-2</v>
      </c>
      <c r="F103" s="5">
        <f t="shared" si="8"/>
        <v>0</v>
      </c>
      <c r="G103" s="5">
        <f t="shared" si="8"/>
        <v>0</v>
      </c>
      <c r="H103" s="5">
        <f t="shared" si="8"/>
        <v>0</v>
      </c>
      <c r="I103" s="5">
        <f t="shared" si="8"/>
        <v>0</v>
      </c>
      <c r="J103" s="5"/>
    </row>
    <row r="104" spans="1:10" x14ac:dyDescent="0.3">
      <c r="A104" s="1">
        <v>45108</v>
      </c>
      <c r="B104" s="4">
        <f>IF(AAPL!H104="","",AAPL!H104)</f>
        <v>1.278534715284747E-2</v>
      </c>
      <c r="C104" s="5">
        <f>IF(MSFT!H104="","",MSFT!H104)</f>
        <v>-1.3566679401029706E-2</v>
      </c>
      <c r="D104" s="5">
        <f>IF(WMT!H104="","",WMT!H104)</f>
        <v>1.7050541744462806E-2</v>
      </c>
      <c r="E104" s="5">
        <f>IF(BA!H104="","",BA!H104)</f>
        <v>0.13113279728863816</v>
      </c>
      <c r="F104" s="5">
        <f t="shared" si="8"/>
        <v>0</v>
      </c>
      <c r="G104" s="5">
        <f t="shared" si="8"/>
        <v>-1.3566679401029706E-2</v>
      </c>
      <c r="H104" s="5">
        <f t="shared" si="8"/>
        <v>0</v>
      </c>
      <c r="I104" s="5">
        <f t="shared" si="8"/>
        <v>0</v>
      </c>
      <c r="J104" s="5"/>
    </row>
    <row r="105" spans="1:10" x14ac:dyDescent="0.3">
      <c r="A105" s="1">
        <v>45139</v>
      </c>
      <c r="B105" s="4">
        <f>IF(AAPL!H105="","",AAPL!H105)</f>
        <v>-4.3675128555560459E-2</v>
      </c>
      <c r="C105" s="5">
        <f>IF(MSFT!H105="","",MSFT!H105)</f>
        <v>-2.429145632534719E-2</v>
      </c>
      <c r="D105" s="5">
        <f>IF(WMT!H105="","",WMT!H105)</f>
        <v>1.7202577442866292E-2</v>
      </c>
      <c r="E105" s="5">
        <f>IF(BA!H105="","",BA!H105)</f>
        <v>-6.2047337775658268E-2</v>
      </c>
      <c r="F105" s="5">
        <f t="shared" si="8"/>
        <v>-4.3675128555560459E-2</v>
      </c>
      <c r="G105" s="5">
        <f t="shared" si="8"/>
        <v>-2.429145632534719E-2</v>
      </c>
      <c r="H105" s="5">
        <f t="shared" si="8"/>
        <v>0</v>
      </c>
      <c r="I105" s="5">
        <f t="shared" si="8"/>
        <v>-6.2047337775658268E-2</v>
      </c>
      <c r="J105" s="5"/>
    </row>
    <row r="106" spans="1:10" x14ac:dyDescent="0.3">
      <c r="A106" s="1">
        <v>45170</v>
      </c>
      <c r="B106" s="4">
        <f>IF(AAPL!H106="","",AAPL!H106)</f>
        <v>-8.7447690612892606E-2</v>
      </c>
      <c r="C106" s="5">
        <f>IF(MSFT!H106="","",MSFT!H106)</f>
        <v>-3.4603094356623211E-2</v>
      </c>
      <c r="D106" s="5">
        <f>IF(WMT!H106="","",WMT!H106)</f>
        <v>-1.2984772235987454E-2</v>
      </c>
      <c r="E106" s="5">
        <f>IF(BA!H106="","",BA!H106)</f>
        <v>-0.14440033095746257</v>
      </c>
      <c r="F106" s="5">
        <f t="shared" si="8"/>
        <v>-8.7447690612892606E-2</v>
      </c>
      <c r="G106" s="5">
        <f t="shared" si="8"/>
        <v>-3.4603094356623211E-2</v>
      </c>
      <c r="H106" s="5">
        <f t="shared" si="8"/>
        <v>-1.2984772235987454E-2</v>
      </c>
      <c r="I106" s="5">
        <f t="shared" si="8"/>
        <v>-0.14440033095746257</v>
      </c>
      <c r="J106" s="5"/>
    </row>
    <row r="107" spans="1:10" x14ac:dyDescent="0.3">
      <c r="A107" s="1">
        <v>45200</v>
      </c>
      <c r="B107" s="4">
        <f>IF(AAPL!H107="","",AAPL!H107)</f>
        <v>-2.5700097770823393E-3</v>
      </c>
      <c r="C107" s="5">
        <f>IF(MSFT!H107="","",MSFT!H107)</f>
        <v>7.0815458613346413E-2</v>
      </c>
      <c r="D107" s="5">
        <f>IF(WMT!H107="","",WMT!H107)</f>
        <v>2.1759558846130331E-2</v>
      </c>
      <c r="E107" s="5">
        <f>IF(BA!H107="","",BA!H107)</f>
        <v>-2.5354685817418579E-2</v>
      </c>
      <c r="F107" s="5">
        <f t="shared" si="8"/>
        <v>-2.5700097770823393E-3</v>
      </c>
      <c r="G107" s="5">
        <f t="shared" si="8"/>
        <v>0</v>
      </c>
      <c r="H107" s="5">
        <f t="shared" si="8"/>
        <v>0</v>
      </c>
      <c r="I107" s="5">
        <f t="shared" si="8"/>
        <v>-2.5354685817418579E-2</v>
      </c>
      <c r="J107" s="5"/>
    </row>
    <row r="108" spans="1:10" x14ac:dyDescent="0.3">
      <c r="A108" s="1">
        <v>45231</v>
      </c>
      <c r="B108" s="4">
        <f>IF(AAPL!H108="","",AAPL!H108)</f>
        <v>0.11231474863263526</v>
      </c>
      <c r="C108" s="5">
        <f>IF(MSFT!H108="","",MSFT!H108)</f>
        <v>0.1206708111710062</v>
      </c>
      <c r="D108" s="5">
        <f>IF(WMT!H108="","",WMT!H108)</f>
        <v>-4.7243237994175319E-2</v>
      </c>
      <c r="E108" s="5">
        <f>IF(BA!H108="","",BA!H108)</f>
        <v>0.23985652671557819</v>
      </c>
      <c r="F108" s="5">
        <f t="shared" si="8"/>
        <v>0</v>
      </c>
      <c r="G108" s="5">
        <f t="shared" si="8"/>
        <v>0</v>
      </c>
      <c r="H108" s="5">
        <f t="shared" si="8"/>
        <v>-4.7243237994175319E-2</v>
      </c>
      <c r="I108" s="5">
        <f t="shared" si="8"/>
        <v>0</v>
      </c>
      <c r="J108" s="5"/>
    </row>
    <row r="109" spans="1:10" x14ac:dyDescent="0.3">
      <c r="A109" s="1">
        <v>45261</v>
      </c>
      <c r="B109" s="4">
        <f>IF(AAPL!H109="","",AAPL!H109)</f>
        <v>1.4917911066661542E-2</v>
      </c>
      <c r="C109" s="5">
        <f>IF(MSFT!H109="","",MSFT!H109)</f>
        <v>-5.5600956249316517E-3</v>
      </c>
      <c r="D109" s="5">
        <f>IF(WMT!H109="","",WMT!H109)</f>
        <v>1.2589150296784523E-2</v>
      </c>
      <c r="E109" s="5">
        <f>IF(BA!H109="","",BA!H109)</f>
        <v>0.12532918176986613</v>
      </c>
      <c r="F109" s="5">
        <f t="shared" si="8"/>
        <v>0</v>
      </c>
      <c r="G109" s="5">
        <f t="shared" si="8"/>
        <v>-5.5600956249316517E-3</v>
      </c>
      <c r="H109" s="5">
        <f t="shared" si="8"/>
        <v>0</v>
      </c>
      <c r="I109" s="5">
        <f t="shared" si="8"/>
        <v>0</v>
      </c>
      <c r="J109" s="5"/>
    </row>
    <row r="110" spans="1:10" x14ac:dyDescent="0.3">
      <c r="A110" s="1">
        <v>45292</v>
      </c>
      <c r="B110" s="4">
        <f>IF(AAPL!H110="","",AAPL!H110)</f>
        <v>-4.2227191330091965E-2</v>
      </c>
      <c r="C110" s="5">
        <f>IF(MSFT!H110="","",MSFT!H110)</f>
        <v>5.7281190811092092E-2</v>
      </c>
      <c r="D110" s="5">
        <f>IF(WMT!H110="","",WMT!H110)</f>
        <v>5.2101140022255799E-2</v>
      </c>
      <c r="E110" s="5">
        <f>IF(BA!H110="","",BA!H110)</f>
        <v>-0.1903629641623116</v>
      </c>
      <c r="F110" s="5">
        <f t="shared" si="8"/>
        <v>-4.2227191330091965E-2</v>
      </c>
      <c r="G110" s="5">
        <f t="shared" si="8"/>
        <v>0</v>
      </c>
      <c r="H110" s="5">
        <f t="shared" si="8"/>
        <v>0</v>
      </c>
      <c r="I110" s="5">
        <f t="shared" si="8"/>
        <v>-0.1903629641623116</v>
      </c>
      <c r="J110" s="5"/>
    </row>
    <row r="111" spans="1:10" x14ac:dyDescent="0.3">
      <c r="A111" s="1">
        <v>45323</v>
      </c>
      <c r="B111" s="4">
        <f>IF(AAPL!H111="","",AAPL!H111)</f>
        <v>-1.9793933349070047E-2</v>
      </c>
      <c r="C111" s="5">
        <f>IF(MSFT!H111="","",MSFT!H111)</f>
        <v>4.0394391942787218E-2</v>
      </c>
      <c r="D111" s="5">
        <f>IF(WMT!H111="","",WMT!H111)</f>
        <v>6.4024237961398084E-2</v>
      </c>
      <c r="E111" s="5">
        <f>IF(BA!H111="","",BA!H111)</f>
        <v>-3.4685330945779615E-2</v>
      </c>
      <c r="F111" s="5">
        <f t="shared" si="8"/>
        <v>-1.9793933349070047E-2</v>
      </c>
      <c r="G111" s="5">
        <f t="shared" si="8"/>
        <v>0</v>
      </c>
      <c r="H111" s="5">
        <f t="shared" si="8"/>
        <v>0</v>
      </c>
      <c r="I111" s="5">
        <f t="shared" si="8"/>
        <v>-3.4685330945779615E-2</v>
      </c>
      <c r="J111" s="5"/>
    </row>
    <row r="112" spans="1:10" x14ac:dyDescent="0.3">
      <c r="A112" s="1">
        <v>45352</v>
      </c>
      <c r="B112" s="4">
        <f>IF(AAPL!H112="","",AAPL!H112)</f>
        <v>-5.0075709000594146E-2</v>
      </c>
      <c r="C112" s="5">
        <f>IF(MSFT!H112="","",MSFT!H112)</f>
        <v>1.8997201773044523E-2</v>
      </c>
      <c r="D112" s="5">
        <f>IF(WMT!H112="","",WMT!H112)</f>
        <v>2.6616584145770675E-2</v>
      </c>
      <c r="E112" s="5">
        <f>IF(BA!H112="","",BA!H112)</f>
        <v>-5.2670311934663698E-2</v>
      </c>
      <c r="F112" s="5">
        <f t="shared" si="8"/>
        <v>-5.0075709000594146E-2</v>
      </c>
      <c r="G112" s="5">
        <f t="shared" si="8"/>
        <v>0</v>
      </c>
      <c r="H112" s="5">
        <f t="shared" si="8"/>
        <v>0</v>
      </c>
      <c r="I112" s="5">
        <f t="shared" si="8"/>
        <v>-5.2670311934663698E-2</v>
      </c>
      <c r="J112" s="5"/>
    </row>
    <row r="113" spans="1:10" x14ac:dyDescent="0.3">
      <c r="A113" s="1">
        <v>45383</v>
      </c>
      <c r="B113" s="4">
        <f>IF(AAPL!H113="","",AAPL!H113)</f>
        <v>-6.7062905115598511E-3</v>
      </c>
      <c r="C113" s="5">
        <f>IF(MSFT!H113="","",MSFT!H113)</f>
        <v>-7.4610224597818423E-2</v>
      </c>
      <c r="D113" s="5">
        <f>IF(WMT!H113="","",WMT!H113)</f>
        <v>-1.0268675459450059E-2</v>
      </c>
      <c r="E113" s="5">
        <f>IF(BA!H113="","",BA!H113)</f>
        <v>-0.13031767629624127</v>
      </c>
      <c r="F113" s="5">
        <f t="shared" si="8"/>
        <v>-6.7062905115598511E-3</v>
      </c>
      <c r="G113" s="5">
        <f t="shared" si="8"/>
        <v>-7.4610224597818423E-2</v>
      </c>
      <c r="H113" s="5">
        <f t="shared" si="8"/>
        <v>-1.0268675459450059E-2</v>
      </c>
      <c r="I113" s="5">
        <f t="shared" si="8"/>
        <v>-0.13031767629624127</v>
      </c>
      <c r="J113" s="5"/>
    </row>
    <row r="114" spans="1:10" x14ac:dyDescent="0.3">
      <c r="A114" s="1">
        <v>45413</v>
      </c>
      <c r="B114" s="4">
        <f>IF(AAPL!H114="","",AAPL!H114)</f>
        <v>0.11383785972203569</v>
      </c>
      <c r="C114" s="5">
        <f>IF(MSFT!H114="","",MSFT!H114)</f>
        <v>8.6687404113884425E-2</v>
      </c>
      <c r="D114" s="5">
        <f>IF(WMT!H114="","",WMT!H114)</f>
        <v>8.0876835075883412E-3</v>
      </c>
      <c r="E114" s="5">
        <f>IF(BA!H114="","",BA!H114)</f>
        <v>5.4516260832131944E-2</v>
      </c>
      <c r="F114" s="5">
        <f t="shared" si="8"/>
        <v>0</v>
      </c>
      <c r="G114" s="5">
        <f t="shared" si="8"/>
        <v>0</v>
      </c>
      <c r="H114" s="5">
        <f t="shared" si="8"/>
        <v>0</v>
      </c>
      <c r="I114" s="5">
        <f t="shared" si="8"/>
        <v>0</v>
      </c>
      <c r="J114" s="5"/>
    </row>
    <row r="115" spans="1:10" x14ac:dyDescent="0.3">
      <c r="A115" s="1">
        <v>45428</v>
      </c>
      <c r="B115" s="4">
        <f>IF(AAPL!H115="","",AAPL!H115)</f>
        <v>4.8662106255368993E-3</v>
      </c>
      <c r="C115" s="5">
        <f>IF(MSFT!H115="","",MSFT!H115)</f>
        <v>5.2374082059827368E-3</v>
      </c>
      <c r="D115" s="5">
        <f>IF(WMT!H115="","",WMT!H115)</f>
        <v>6.2426823920213141E-2</v>
      </c>
      <c r="E115" s="5">
        <f>IF(BA!H115="","",BA!H115)</f>
        <v>3.0171178310323291E-2</v>
      </c>
      <c r="F115" s="5">
        <f t="shared" si="8"/>
        <v>0</v>
      </c>
      <c r="G115" s="5">
        <f t="shared" si="8"/>
        <v>0</v>
      </c>
      <c r="H115" s="5">
        <f t="shared" si="8"/>
        <v>0</v>
      </c>
      <c r="I115" s="5">
        <f t="shared" si="8"/>
        <v>0</v>
      </c>
      <c r="J115" s="5"/>
    </row>
  </sheetData>
  <hyperlinks>
    <hyperlink ref="T8" r:id="rId1" location=":~:text=The%20Sharpe%20ratio%20measures%20the,performance%20of%20an%20individual%20stock." xr:uid="{ADC3E85F-4B15-46E8-B39A-D33FABF284AC}"/>
    <hyperlink ref="T9" r:id="rId2" location=":~:text=The%20Sortino%20ratio%20focuses%20on,to%20have%20more%20consistent%20returns." xr:uid="{B5CF5B73-4537-4664-8D99-24C653C566BF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CFA420A-C04C-43B3-89D4-7F8F891E3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AAPL</vt:lpstr>
      <vt:lpstr>MSFT</vt:lpstr>
      <vt:lpstr>WMT</vt:lpstr>
      <vt:lpstr>BA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Debjit Laha</dc:creator>
  <cp:lastModifiedBy>Debjit Laha</cp:lastModifiedBy>
  <dcterms:created xsi:type="dcterms:W3CDTF">2024-05-16T17:08:42Z</dcterms:created>
  <dcterms:modified xsi:type="dcterms:W3CDTF">2024-05-17T07:05:22Z</dcterms:modified>
</cp:coreProperties>
</file>